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jbarley/Desktop/"/>
    </mc:Choice>
  </mc:AlternateContent>
  <xr:revisionPtr revIDLastSave="0" documentId="13_ncr:1_{2C81AC41-1A7C-4D4B-BF00-FB0FD58F8CE4}" xr6:coauthVersionLast="31" xr6:coauthVersionMax="31" xr10:uidLastSave="{00000000-0000-0000-0000-000000000000}"/>
  <bookViews>
    <workbookView xWindow="500" yWindow="560" windowWidth="23840" windowHeight="13060" tabRatio="500" xr2:uid="{00000000-000D-0000-FFFF-FFFF00000000}"/>
  </bookViews>
  <sheets>
    <sheet name="Master" sheetId="1" r:id="rId1"/>
    <sheet name="Selected digestion" sheetId="2" r:id="rId2"/>
    <sheet name="Hoja3" sheetId="3" r:id="rId3"/>
  </sheets>
  <definedNames>
    <definedName name="_xlnm._FilterDatabase" localSheetId="0" hidden="1">Master!$A$1:$B$213</definedName>
  </definedNames>
  <calcPr calcId="17901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0" i="2" l="1"/>
  <c r="AA15" i="1"/>
  <c r="AA19" i="1"/>
  <c r="AA119" i="1"/>
  <c r="AA40" i="1"/>
  <c r="AA149" i="1"/>
  <c r="K56" i="2"/>
  <c r="L56" i="2"/>
  <c r="K95" i="2"/>
  <c r="L95" i="2"/>
  <c r="K70" i="2"/>
  <c r="L70" i="2"/>
  <c r="K42" i="2"/>
  <c r="L42" i="2"/>
  <c r="K138" i="2"/>
  <c r="L138" i="2"/>
  <c r="K50" i="2"/>
  <c r="L50" i="2"/>
  <c r="K130" i="2"/>
  <c r="L130" i="2"/>
  <c r="K124" i="2"/>
  <c r="L124" i="2"/>
  <c r="K67" i="2"/>
  <c r="L67" i="2"/>
  <c r="K21" i="2"/>
  <c r="L21" i="2"/>
  <c r="K69" i="2"/>
  <c r="L69" i="2"/>
  <c r="K6" i="2"/>
  <c r="L6" i="2"/>
  <c r="K106" i="2"/>
  <c r="L106" i="2"/>
  <c r="K8" i="2"/>
  <c r="L8" i="2"/>
  <c r="K88" i="2"/>
  <c r="L88" i="2"/>
  <c r="K25" i="2"/>
  <c r="L25" i="2"/>
  <c r="K19" i="2"/>
  <c r="L19" i="2"/>
  <c r="K115" i="2"/>
  <c r="L115" i="2"/>
  <c r="K44" i="2"/>
  <c r="L44" i="2"/>
  <c r="K94" i="2"/>
  <c r="L94" i="2"/>
  <c r="K43" i="2"/>
  <c r="L43" i="2"/>
  <c r="K49" i="2"/>
  <c r="L49" i="2"/>
  <c r="K84" i="2"/>
  <c r="L84" i="2"/>
  <c r="K7" i="2"/>
  <c r="L7" i="2"/>
  <c r="K27" i="2"/>
  <c r="L27" i="2"/>
  <c r="L5" i="2"/>
  <c r="K68" i="2"/>
  <c r="L68" i="2"/>
  <c r="K22" i="2"/>
  <c r="L22" i="2" s="1"/>
  <c r="K72" i="2"/>
  <c r="L72" i="2"/>
  <c r="K99" i="2"/>
  <c r="L99" i="2" s="1"/>
  <c r="K57" i="2"/>
  <c r="L57" i="2"/>
  <c r="K96" i="2"/>
  <c r="L96" i="2" s="1"/>
  <c r="K110" i="2"/>
  <c r="L110" i="2"/>
  <c r="K29" i="2"/>
  <c r="L29" i="2" s="1"/>
  <c r="K17" i="2"/>
  <c r="L17" i="2"/>
  <c r="K79" i="2"/>
  <c r="L79" i="2" s="1"/>
  <c r="L91" i="2"/>
  <c r="L73" i="2"/>
  <c r="L13" i="2"/>
  <c r="L26" i="2"/>
  <c r="K127" i="2"/>
  <c r="L127" i="2"/>
  <c r="K101" i="2"/>
  <c r="L101" i="2" s="1"/>
  <c r="K118" i="2"/>
  <c r="L118" i="2"/>
  <c r="K120" i="2"/>
  <c r="L120" i="2" s="1"/>
  <c r="K14" i="2"/>
  <c r="L14" i="2"/>
  <c r="K62" i="2"/>
  <c r="L62" i="2" s="1"/>
  <c r="K55" i="2"/>
  <c r="L55" i="2"/>
  <c r="K46" i="2"/>
  <c r="L46" i="2" s="1"/>
  <c r="K137" i="2"/>
  <c r="L137" i="2"/>
  <c r="K18" i="2"/>
  <c r="L18" i="2" s="1"/>
  <c r="K134" i="2"/>
  <c r="L134" i="2"/>
  <c r="K11" i="2"/>
  <c r="L11" i="2" s="1"/>
  <c r="K119" i="2"/>
  <c r="L119" i="2"/>
  <c r="K109" i="2"/>
  <c r="L109" i="2" s="1"/>
  <c r="K129" i="2"/>
  <c r="L129" i="2"/>
  <c r="K132" i="2"/>
  <c r="L132" i="2" s="1"/>
  <c r="K135" i="2"/>
  <c r="L135" i="2"/>
  <c r="K85" i="2"/>
  <c r="L85" i="2" s="1"/>
  <c r="K123" i="2"/>
  <c r="L123" i="2"/>
  <c r="K89" i="2"/>
  <c r="L89" i="2" s="1"/>
  <c r="K58" i="2"/>
  <c r="L58" i="2"/>
  <c r="K122" i="2"/>
  <c r="L122" i="2" s="1"/>
  <c r="K126" i="2"/>
  <c r="L126" i="2"/>
  <c r="K133" i="2"/>
  <c r="L133" i="2" s="1"/>
  <c r="K45" i="2"/>
  <c r="L45" i="2"/>
  <c r="K128" i="2"/>
  <c r="L128" i="2" s="1"/>
  <c r="K80" i="2"/>
  <c r="L80" i="2"/>
  <c r="K51" i="2"/>
  <c r="L51" i="2" s="1"/>
  <c r="K34" i="2"/>
  <c r="L34" i="2"/>
  <c r="K40" i="2"/>
  <c r="L40" i="2" s="1"/>
  <c r="K93" i="2"/>
  <c r="L93" i="2"/>
  <c r="K90" i="2"/>
  <c r="L90" i="2" s="1"/>
  <c r="K23" i="2"/>
  <c r="L23" i="2"/>
  <c r="K47" i="2"/>
  <c r="L47" i="2" s="1"/>
  <c r="K136" i="2"/>
  <c r="L136" i="2"/>
  <c r="K15" i="2"/>
  <c r="L15" i="2" s="1"/>
  <c r="K60" i="2"/>
  <c r="L60" i="2"/>
  <c r="K28" i="2"/>
  <c r="L28" i="2" s="1"/>
  <c r="K108" i="2"/>
  <c r="L108" i="2"/>
  <c r="K9" i="2"/>
  <c r="L9" i="2" s="1"/>
  <c r="K64" i="2"/>
  <c r="L64" i="2"/>
  <c r="K20" i="2"/>
  <c r="L20" i="2" s="1"/>
  <c r="K53" i="2"/>
  <c r="L53" i="2"/>
  <c r="K30" i="2"/>
  <c r="L30" i="2" s="1"/>
  <c r="K98" i="2"/>
  <c r="L98" i="2"/>
  <c r="K61" i="2"/>
  <c r="L61" i="2" s="1"/>
  <c r="K76" i="2"/>
  <c r="L76" i="2"/>
  <c r="K71" i="2"/>
  <c r="L71" i="2" s="1"/>
  <c r="K83" i="2"/>
  <c r="L83" i="2"/>
  <c r="K112" i="2"/>
  <c r="L112" i="2" s="1"/>
  <c r="K103" i="2"/>
  <c r="L103" i="2"/>
  <c r="K121" i="2"/>
  <c r="L121" i="2" s="1"/>
  <c r="K125" i="2"/>
  <c r="L125" i="2"/>
  <c r="K4" i="2"/>
  <c r="L4" i="2" s="1"/>
  <c r="K104" i="2"/>
  <c r="L104" i="2"/>
  <c r="K38" i="2"/>
  <c r="L38" i="2" s="1"/>
  <c r="K86" i="2"/>
  <c r="L86" i="2"/>
  <c r="K81" i="2"/>
  <c r="L81" i="2" s="1"/>
  <c r="K105" i="2"/>
  <c r="L105" i="2"/>
  <c r="K33" i="2"/>
  <c r="L33" i="2" s="1"/>
  <c r="K24" i="2"/>
  <c r="L24" i="2"/>
  <c r="K59" i="2"/>
  <c r="L59" i="2" s="1"/>
  <c r="K78" i="2"/>
  <c r="L78" i="2"/>
  <c r="K82" i="2"/>
  <c r="L82" i="2" s="1"/>
  <c r="K111" i="2"/>
  <c r="L111" i="2"/>
  <c r="K54" i="2"/>
  <c r="L54" i="2" s="1"/>
  <c r="K32" i="2"/>
  <c r="L32" i="2"/>
  <c r="K12" i="2"/>
  <c r="L12" i="2" s="1"/>
  <c r="K31" i="2"/>
  <c r="L31" i="2"/>
  <c r="K107" i="2"/>
  <c r="L107" i="2" s="1"/>
  <c r="K102" i="2"/>
  <c r="L102" i="2"/>
  <c r="K48" i="2"/>
  <c r="L48" i="2" s="1"/>
  <c r="K37" i="2"/>
  <c r="L37" i="2"/>
  <c r="K2" i="2"/>
  <c r="L2" i="2" s="1"/>
  <c r="K16" i="2"/>
  <c r="L16" i="2"/>
  <c r="K35" i="2"/>
  <c r="L35" i="2" s="1"/>
  <c r="K117" i="2"/>
  <c r="L117" i="2"/>
  <c r="K75" i="2"/>
  <c r="L75" i="2" s="1"/>
  <c r="K66" i="2"/>
  <c r="L66" i="2"/>
  <c r="K39" i="2"/>
  <c r="L39" i="2" s="1"/>
  <c r="K113" i="2"/>
  <c r="L113" i="2"/>
  <c r="K97" i="2"/>
  <c r="L97" i="2" s="1"/>
  <c r="K92" i="2"/>
  <c r="L92" i="2"/>
  <c r="K63" i="2"/>
  <c r="L63" i="2" s="1"/>
  <c r="K100" i="2"/>
  <c r="L100" i="2"/>
  <c r="K3" i="2"/>
  <c r="L3" i="2" s="1"/>
  <c r="K116" i="2"/>
  <c r="L116" i="2"/>
  <c r="K52" i="2"/>
  <c r="L52" i="2" s="1"/>
  <c r="K87" i="2"/>
  <c r="L87" i="2"/>
  <c r="K36" i="2"/>
  <c r="L36" i="2" s="1"/>
  <c r="K41" i="2"/>
  <c r="L41" i="2"/>
  <c r="K77" i="2"/>
  <c r="L77" i="2" s="1"/>
  <c r="K74" i="2"/>
  <c r="L74" i="2"/>
  <c r="K131" i="2"/>
  <c r="L131" i="2" s="1"/>
  <c r="K65" i="2"/>
  <c r="L65" i="2"/>
  <c r="K114" i="2"/>
  <c r="L114" i="2" s="1"/>
  <c r="AA18" i="1"/>
  <c r="AA188" i="1"/>
  <c r="AA61" i="1"/>
  <c r="AA135" i="1"/>
  <c r="AA117" i="1"/>
  <c r="AA26" i="1"/>
  <c r="AA142" i="1"/>
  <c r="AA171" i="1"/>
  <c r="AA11" i="1"/>
  <c r="AA43" i="1"/>
  <c r="AA153" i="1"/>
  <c r="AA87" i="1"/>
  <c r="AA78" i="1"/>
  <c r="AA54" i="1"/>
  <c r="AA76" i="1"/>
  <c r="AA189" i="1"/>
  <c r="AA37" i="1"/>
  <c r="AA35" i="1"/>
  <c r="AA22" i="1"/>
  <c r="AA24" i="1"/>
  <c r="AA31" i="1"/>
  <c r="AA164" i="1"/>
  <c r="AA195" i="1"/>
  <c r="AA184" i="1"/>
  <c r="AA20" i="1"/>
  <c r="AA103" i="1"/>
  <c r="AA102" i="1"/>
  <c r="AA109" i="1"/>
  <c r="AA133" i="1"/>
  <c r="AA130" i="1"/>
  <c r="AA59" i="1"/>
  <c r="AA86" i="1"/>
  <c r="AA167" i="1"/>
  <c r="AA66" i="1"/>
  <c r="AA177" i="1"/>
  <c r="AA213" i="1"/>
  <c r="AA209" i="1"/>
  <c r="AA204" i="1"/>
  <c r="AA185" i="1"/>
  <c r="AA85" i="1"/>
  <c r="AA25" i="1"/>
  <c r="AA210" i="1"/>
  <c r="AA211" i="1"/>
  <c r="AA212" i="1"/>
  <c r="AA206" i="1"/>
  <c r="AA207" i="1"/>
  <c r="AA208" i="1"/>
  <c r="AA205" i="1"/>
  <c r="AA197" i="1"/>
  <c r="AA198" i="1"/>
  <c r="AA199" i="1"/>
  <c r="AA200" i="1"/>
  <c r="AA201" i="1"/>
  <c r="AA202" i="1"/>
  <c r="AA203" i="1"/>
  <c r="AA196" i="1"/>
  <c r="AA192" i="1"/>
  <c r="AA191" i="1"/>
  <c r="AA186" i="1"/>
  <c r="AA173" i="1"/>
  <c r="AA6" i="1"/>
  <c r="AA181" i="1"/>
  <c r="AA182" i="1"/>
  <c r="AA183" i="1"/>
  <c r="AA163" i="1"/>
  <c r="AA165" i="1"/>
  <c r="AA168" i="1"/>
  <c r="AA169" i="1"/>
  <c r="AA172" i="1"/>
  <c r="AA159" i="1"/>
  <c r="AA147" i="1"/>
  <c r="AA150" i="1"/>
  <c r="AA151" i="1"/>
  <c r="AA154" i="1"/>
  <c r="AA143" i="1"/>
  <c r="AA137" i="1"/>
  <c r="AA139" i="1"/>
  <c r="AA131" i="1"/>
  <c r="AA134" i="1"/>
  <c r="AA125" i="1"/>
  <c r="AA127" i="1"/>
  <c r="AA121" i="1"/>
  <c r="AA105" i="1"/>
  <c r="AA95" i="1"/>
  <c r="AA97" i="1"/>
  <c r="AA99" i="1"/>
  <c r="AA93" i="1"/>
  <c r="AA88" i="1"/>
  <c r="AA89" i="1"/>
  <c r="AA79" i="1"/>
  <c r="AA81" i="1"/>
  <c r="AA161" i="1"/>
  <c r="AA120" i="1"/>
  <c r="AA115" i="1"/>
  <c r="AA187" i="1"/>
  <c r="AA113" i="1"/>
  <c r="AA101" i="1"/>
  <c r="AA107" i="1"/>
  <c r="AA104" i="1"/>
  <c r="AA141" i="1"/>
  <c r="AA123" i="1"/>
  <c r="AA83" i="1"/>
  <c r="AA175" i="1"/>
  <c r="AA110" i="1"/>
  <c r="AA111" i="1"/>
  <c r="AA118" i="1"/>
  <c r="AA136" i="1"/>
  <c r="AA145" i="1"/>
  <c r="AA155" i="1"/>
  <c r="AA157" i="1"/>
  <c r="AA179" i="1"/>
  <c r="AA193" i="1"/>
  <c r="AA129" i="1"/>
  <c r="AA65" i="1"/>
  <c r="AA67" i="1"/>
  <c r="AA69" i="1"/>
  <c r="AA72" i="1"/>
  <c r="AA73" i="1"/>
  <c r="AA75" i="1"/>
  <c r="AA77" i="1"/>
  <c r="AA49" i="1"/>
  <c r="AA51" i="1"/>
  <c r="AA53" i="1"/>
  <c r="AA55" i="1"/>
  <c r="AA57" i="1"/>
  <c r="AA60" i="1"/>
  <c r="AA62" i="1"/>
  <c r="AA63" i="1"/>
  <c r="AA36" i="1"/>
  <c r="AA38" i="1"/>
  <c r="AA39" i="1"/>
  <c r="AA41" i="1"/>
  <c r="AA44" i="1"/>
  <c r="AA45" i="1"/>
  <c r="AA47" i="1"/>
  <c r="AA4" i="1"/>
  <c r="AA8" i="1"/>
  <c r="AA10" i="1"/>
  <c r="AA12" i="1"/>
  <c r="AA14" i="1"/>
  <c r="AA16" i="1"/>
  <c r="AA21" i="1"/>
  <c r="AA23" i="1"/>
  <c r="AA27" i="1"/>
  <c r="AA28" i="1"/>
  <c r="AA30" i="1"/>
  <c r="AA32" i="1"/>
  <c r="AA33" i="1"/>
  <c r="AA2" i="1"/>
</calcChain>
</file>

<file path=xl/sharedStrings.xml><?xml version="1.0" encoding="utf-8"?>
<sst xmlns="http://schemas.openxmlformats.org/spreadsheetml/2006/main" count="4147" uniqueCount="544">
  <si>
    <t>No</t>
  </si>
  <si>
    <t>Especie</t>
  </si>
  <si>
    <t>Subespecie</t>
  </si>
  <si>
    <t>Estado</t>
  </si>
  <si>
    <t>Municipio</t>
  </si>
  <si>
    <t>Localidad</t>
  </si>
  <si>
    <t>Latitud</t>
  </si>
  <si>
    <t>Longitud</t>
  </si>
  <si>
    <t>Sexo</t>
  </si>
  <si>
    <t>Edad</t>
  </si>
  <si>
    <t>ANMO</t>
  </si>
  <si>
    <t>calidipes</t>
  </si>
  <si>
    <t>Michoacán</t>
  </si>
  <si>
    <t>Macho</t>
  </si>
  <si>
    <t>Adulto</t>
  </si>
  <si>
    <t>Hembra</t>
  </si>
  <si>
    <t>Jóven</t>
  </si>
  <si>
    <t>Las Cañas, sobre carr libre Nueva Italia--Lázaro Cárdenas</t>
  </si>
  <si>
    <t>C8</t>
  </si>
  <si>
    <t>A5</t>
  </si>
  <si>
    <t>UOGV</t>
  </si>
  <si>
    <t>parvisocia</t>
  </si>
  <si>
    <t>Oaxaca</t>
  </si>
  <si>
    <t>Cuicatlan</t>
  </si>
  <si>
    <t>Rio Grande, al E de Cuicatlan</t>
  </si>
  <si>
    <t>?</t>
  </si>
  <si>
    <t>H8</t>
  </si>
  <si>
    <t>JCAM</t>
  </si>
  <si>
    <t>Puebla</t>
  </si>
  <si>
    <t>G8</t>
  </si>
  <si>
    <t>sacki</t>
  </si>
  <si>
    <t>MZFC</t>
  </si>
  <si>
    <t>Taniche</t>
  </si>
  <si>
    <t>Sobre carretera San Martín Lachila-San Miguel Ejutla</t>
  </si>
  <si>
    <t>Chiapas</t>
  </si>
  <si>
    <t>La Trinitaria</t>
  </si>
  <si>
    <t>Ejido Nuevo Zapaluta, camino a Francisco G. Mujica</t>
  </si>
  <si>
    <t>G</t>
  </si>
  <si>
    <t>B5</t>
  </si>
  <si>
    <t>motaguae</t>
  </si>
  <si>
    <t>San Pedro Juchatengo</t>
  </si>
  <si>
    <t>G9</t>
  </si>
  <si>
    <t>Aprox. 8 Km N Cerro del Vidrio x carretera a Oaxaca</t>
  </si>
  <si>
    <t>I5</t>
  </si>
  <si>
    <t>mexicana</t>
  </si>
  <si>
    <t>Subadulto</t>
  </si>
  <si>
    <t>A9</t>
  </si>
  <si>
    <t>9.5 km. SE de Miahuatlan</t>
  </si>
  <si>
    <t>Santo Tomás Tamazulapan</t>
  </si>
  <si>
    <t>Camino de Huetamo a San Jerónimo</t>
  </si>
  <si>
    <t>C5</t>
  </si>
  <si>
    <t>A6</t>
  </si>
  <si>
    <t>gigas</t>
  </si>
  <si>
    <t>Acatlán</t>
  </si>
  <si>
    <t>ISZ</t>
  </si>
  <si>
    <t>B2</t>
  </si>
  <si>
    <t xml:space="preserve">Carretera Huajuapan - Izúcar de Matamoros </t>
  </si>
  <si>
    <t>Guerrero</t>
  </si>
  <si>
    <t>Eduardo Neri</t>
  </si>
  <si>
    <t>Camino a la Mina, Mexcala</t>
  </si>
  <si>
    <t>C6</t>
  </si>
  <si>
    <t>Morelos</t>
  </si>
  <si>
    <t>Puente de Ixtla</t>
  </si>
  <si>
    <t>2.6 km SE de Ahuehuetzingo, lado de un rio</t>
  </si>
  <si>
    <t>D3</t>
  </si>
  <si>
    <t>Santiago Yolmécatl</t>
  </si>
  <si>
    <t>Santiago Yolomécatl</t>
  </si>
  <si>
    <t>Aspidoscelis sp</t>
  </si>
  <si>
    <t>OAX</t>
  </si>
  <si>
    <t>Villa Tejúpam de la Unión</t>
  </si>
  <si>
    <t>Aproximadamente 1 km N Tejupan</t>
  </si>
  <si>
    <t>alpina</t>
  </si>
  <si>
    <t>alpina2</t>
  </si>
  <si>
    <t>Clado</t>
  </si>
  <si>
    <t>1.5 km NW Pueblo de Galeana</t>
  </si>
  <si>
    <t>Petlalcingo</t>
  </si>
  <si>
    <t>Puente Rio Petlalcingo</t>
  </si>
  <si>
    <t>Joven</t>
  </si>
  <si>
    <t>B60.12</t>
  </si>
  <si>
    <t>B1</t>
  </si>
  <si>
    <t>OHG</t>
  </si>
  <si>
    <t>Sandra</t>
  </si>
  <si>
    <t>costata</t>
  </si>
  <si>
    <t>Santiago Tamazola</t>
  </si>
  <si>
    <t>2.6 km (en línea recta) NE Santiago Tamazola</t>
  </si>
  <si>
    <t>I7</t>
  </si>
  <si>
    <t>B60.6</t>
  </si>
  <si>
    <t>costata3</t>
  </si>
  <si>
    <t>Atlixtac</t>
  </si>
  <si>
    <t>Alrededores de Tlatlauquiltepec</t>
  </si>
  <si>
    <t>costata4</t>
  </si>
  <si>
    <t>Tixtla de Guerrero</t>
  </si>
  <si>
    <t>Sobre carretera Chilpancingo-Chilacayapa</t>
  </si>
  <si>
    <t>costata5</t>
  </si>
  <si>
    <t>D1</t>
  </si>
  <si>
    <t>C9</t>
  </si>
  <si>
    <t>Olinalá</t>
  </si>
  <si>
    <t>Terraceria hacia Tecolapa, aprox. 0.8 km de la carretera Olinalá-Papalutla</t>
  </si>
  <si>
    <t>H1</t>
  </si>
  <si>
    <t>Terraceria hacia Tecolapa, aprox. 0.66 km de la carretera Olinalá-Papalutla</t>
  </si>
  <si>
    <t>E5</t>
  </si>
  <si>
    <t>Lago Alchichica</t>
  </si>
  <si>
    <t>alpina1</t>
  </si>
  <si>
    <t>I6</t>
  </si>
  <si>
    <t>Tlaxcala</t>
  </si>
  <si>
    <t>Natívitas</t>
  </si>
  <si>
    <t>Cacaxtla</t>
  </si>
  <si>
    <t>I3</t>
  </si>
  <si>
    <t>Tehuitzingo</t>
  </si>
  <si>
    <t>Puente Río Atoyac</t>
  </si>
  <si>
    <t>A4</t>
  </si>
  <si>
    <t>B60.11</t>
  </si>
  <si>
    <t>Emiliano Zapata</t>
  </si>
  <si>
    <t>Residencial Las Gaviotas</t>
  </si>
  <si>
    <t>costata1</t>
  </si>
  <si>
    <t>E4</t>
  </si>
  <si>
    <t>Yautepec</t>
  </si>
  <si>
    <t>Ejido Corral Grande</t>
  </si>
  <si>
    <t>Mazatepec</t>
  </si>
  <si>
    <t>Orillas SE de Mazatepec, lado de un rio</t>
  </si>
  <si>
    <t>E2</t>
  </si>
  <si>
    <t>Cuautla</t>
  </si>
  <si>
    <t>Barranca Guayabos</t>
  </si>
  <si>
    <t>costata2</t>
  </si>
  <si>
    <t>Ayala</t>
  </si>
  <si>
    <t>Balneario Los Limones, Anenecuilco</t>
  </si>
  <si>
    <t>Hembra?</t>
  </si>
  <si>
    <t>C3</t>
  </si>
  <si>
    <t>Jolalpan</t>
  </si>
  <si>
    <t>Huachinantla</t>
  </si>
  <si>
    <t>G5</t>
  </si>
  <si>
    <t>Chilpancingo de los Bravo</t>
  </si>
  <si>
    <t>Camino a Omiltemi; Amojileca</t>
  </si>
  <si>
    <t>IDF</t>
  </si>
  <si>
    <t>Huitzuco de los Figueroa</t>
  </si>
  <si>
    <t>Aprox km 202 de la autopista México-Acapulco o aprox 18 km por dicha autopista del Río Balsas hacia México</t>
  </si>
  <si>
    <t>Carreteta Iguala-Chilpancingo, Plan de Liebres</t>
  </si>
  <si>
    <t>Tepanco de López</t>
  </si>
  <si>
    <t>Aprox 1.5 km SO de San Luis Temalacayuca</t>
  </si>
  <si>
    <t>A3</t>
  </si>
  <si>
    <t>Mugica</t>
  </si>
  <si>
    <t>Aprox. 8.3 km al SW de Nueva Italia</t>
  </si>
  <si>
    <t>communis</t>
  </si>
  <si>
    <t>zweifeli</t>
  </si>
  <si>
    <t>Estado de México</t>
  </si>
  <si>
    <t>Bejucos</t>
  </si>
  <si>
    <t>Colima</t>
  </si>
  <si>
    <t>Manzanillo</t>
  </si>
  <si>
    <t>Cerca de El Naranjo, aprox. 15 km al NW de Manzanillo</t>
  </si>
  <si>
    <t>D9</t>
  </si>
  <si>
    <t>Zacatlán</t>
  </si>
  <si>
    <t>Ziracuaretiro</t>
  </si>
  <si>
    <t>Camino de Ziracuaretiro a Taretán; entre El Patuán y Taretán</t>
  </si>
  <si>
    <t>B6</t>
  </si>
  <si>
    <t>Tlapehuala</t>
  </si>
  <si>
    <t>Carretera Arcelia-Cd. Altamirano, monumento a Lázaro Cárdenas</t>
  </si>
  <si>
    <t>E6</t>
  </si>
  <si>
    <t>Coyuca de Catalán</t>
  </si>
  <si>
    <t>Jalisco</t>
  </si>
  <si>
    <t>Tlajomulco de Zuñiga</t>
  </si>
  <si>
    <t>Instituto de Biotecnología Animal, CUCBA, U de G, "Rancho La Cofradia", Loc. Pueblo La Cofradia, Calle Juárez No. 4</t>
  </si>
  <si>
    <t>CDR</t>
  </si>
  <si>
    <t>occidentalis</t>
  </si>
  <si>
    <t>occidentalis1</t>
  </si>
  <si>
    <t>occidentalis2</t>
  </si>
  <si>
    <t>Ixtlahuacán del Río</t>
  </si>
  <si>
    <t>Sinaloa</t>
  </si>
  <si>
    <t>Mazatlán</t>
  </si>
  <si>
    <t>Carr. Mazatlan-El Quelite, Arroyo San Pablo</t>
  </si>
  <si>
    <t>Nayarit</t>
  </si>
  <si>
    <t>Ixtlán del Río</t>
  </si>
  <si>
    <t>Ixtlan del Rio</t>
  </si>
  <si>
    <t>B9</t>
  </si>
  <si>
    <t>B19.12</t>
  </si>
  <si>
    <t>mazatlanensis</t>
  </si>
  <si>
    <t>H4</t>
  </si>
  <si>
    <t>B19.1</t>
  </si>
  <si>
    <t>El Potrero de Carrasco, aprox 16 km N Mazatlán</t>
  </si>
  <si>
    <t>Cría</t>
  </si>
  <si>
    <t>Badiraguato</t>
  </si>
  <si>
    <t>Carr. Pericos-Santiago de los Caballeros</t>
  </si>
  <si>
    <t>Guasave</t>
  </si>
  <si>
    <t>Guasave, Río Sinaloa</t>
  </si>
  <si>
    <t>Angostura</t>
  </si>
  <si>
    <t>Carr. Culiacan-Guasave</t>
  </si>
  <si>
    <t>Siqueros</t>
  </si>
  <si>
    <t>H3</t>
  </si>
  <si>
    <t>nigrigularis</t>
  </si>
  <si>
    <t>Culiacán</t>
  </si>
  <si>
    <t>2.2 km NE de la Campana</t>
  </si>
  <si>
    <t>Carr. Badiraguato-Surutato, entre Sitio de en medio y Surutato</t>
  </si>
  <si>
    <t>Guasave, Rio Sinaloa</t>
  </si>
  <si>
    <t>I8</t>
  </si>
  <si>
    <t>ECA</t>
  </si>
  <si>
    <t>Durango</t>
  </si>
  <si>
    <t>Tamazula</t>
  </si>
  <si>
    <t>3.3 km SW (en línea recta) de Coacoyote, Tamazula</t>
  </si>
  <si>
    <t>Cosalá</t>
  </si>
  <si>
    <t>Cerro San Rafael, 9.8 km NE (en línea recta) de la cabecera municipal de Cosalá</t>
  </si>
  <si>
    <t>huico</t>
  </si>
  <si>
    <t>Concordia</t>
  </si>
  <si>
    <t>Santa Lucia</t>
  </si>
  <si>
    <t>B60.15</t>
  </si>
  <si>
    <t>Compostela</t>
  </si>
  <si>
    <t>Mesillas, aprox. 6.5 km al S de Las Varas</t>
  </si>
  <si>
    <t>Ruíz</t>
  </si>
  <si>
    <t>Peñitas, Rio San Pedro</t>
  </si>
  <si>
    <t>B60.13</t>
  </si>
  <si>
    <t>B60.8</t>
  </si>
  <si>
    <t>griseocephala</t>
  </si>
  <si>
    <t>griseocephala2</t>
  </si>
  <si>
    <t>Sonora</t>
  </si>
  <si>
    <t>Alamos</t>
  </si>
  <si>
    <t>Carr. Los Alamos-Los Tanques</t>
  </si>
  <si>
    <t>El Fuerte</t>
  </si>
  <si>
    <t>Carr. Los Mochis-El Fuerte, Sibahahuy</t>
  </si>
  <si>
    <t>Rio Juchijaqui</t>
  </si>
  <si>
    <t>Navojoa</t>
  </si>
  <si>
    <t>Jusibampo</t>
  </si>
  <si>
    <t>D4</t>
  </si>
  <si>
    <t>Huatabampo</t>
  </si>
  <si>
    <t>Agiabampo 2, Rio el Chilicote</t>
  </si>
  <si>
    <t>I4</t>
  </si>
  <si>
    <t>barrancorum1</t>
  </si>
  <si>
    <t>Chihuahua</t>
  </si>
  <si>
    <t>Urique</t>
  </si>
  <si>
    <t>180 m al S del campamento minero Bahuerachi</t>
  </si>
  <si>
    <t>barrancorum4</t>
  </si>
  <si>
    <t>Yécora</t>
  </si>
  <si>
    <t>Carr. 16. Yecora-Cuauhtemoc, Km 300-302, Los Pilares</t>
  </si>
  <si>
    <t>I9</t>
  </si>
  <si>
    <t>Guaymas</t>
  </si>
  <si>
    <t>Microondas el Vigia, Guaymas</t>
  </si>
  <si>
    <t>burti</t>
  </si>
  <si>
    <t>B19.6</t>
  </si>
  <si>
    <t>Sierra del Aguaje, Cañon del Nacapule</t>
  </si>
  <si>
    <t>Tlacolula de Matamoros</t>
  </si>
  <si>
    <t>Desviación a Yagul, Carr. Oaxaca-Mitla, 13 Km. N de Mitla</t>
  </si>
  <si>
    <t>E3</t>
  </si>
  <si>
    <t>inornata</t>
  </si>
  <si>
    <t>Carr. Libre Cuencame-Torreón; 22.2 Km. N de Cuencame</t>
  </si>
  <si>
    <t>Coahuila</t>
  </si>
  <si>
    <t>Carr. Dolores-Estanque de Norias</t>
  </si>
  <si>
    <t>B8</t>
  </si>
  <si>
    <t>López</t>
  </si>
  <si>
    <t>Carr. Parral-Cd. Jimenez</t>
  </si>
  <si>
    <t>paulula?</t>
  </si>
  <si>
    <t>heptagramma</t>
  </si>
  <si>
    <t>JAC</t>
  </si>
  <si>
    <t>Comala</t>
  </si>
  <si>
    <t>Jilotlán de los Dolores</t>
  </si>
  <si>
    <t>Near Tepalcatepec</t>
  </si>
  <si>
    <t>B60.2</t>
  </si>
  <si>
    <t>Nicté</t>
  </si>
  <si>
    <t>E7</t>
  </si>
  <si>
    <t>Venustiano Carranza</t>
  </si>
  <si>
    <t>Camino de Paraiso Grijalva a Col. Nuevo Jordan, alrededores de la Presa La Angostura</t>
  </si>
  <si>
    <t>H5</t>
  </si>
  <si>
    <t>Nuevo Zapaluta</t>
  </si>
  <si>
    <t xml:space="preserve">Sola de Vega </t>
  </si>
  <si>
    <t xml:space="preserve">Primera desviación a la Izquierda, Carr. Sola de Vega-Oaxaca </t>
  </si>
  <si>
    <t>MC</t>
  </si>
  <si>
    <t>Carr. Sola de Vega-Santa Cruz Zenzontepec</t>
  </si>
  <si>
    <t>D6</t>
  </si>
  <si>
    <t>San Jerónimo Sosola</t>
  </si>
  <si>
    <t>El Moral; aprox km 175 de la carretera 135 Oaxaca-Cuicatlán</t>
  </si>
  <si>
    <t>H7</t>
  </si>
  <si>
    <t>Tepexco</t>
  </si>
  <si>
    <t>Carr. Cuautla-Izucar de Matamoros</t>
  </si>
  <si>
    <t>Caltepec</t>
  </si>
  <si>
    <t>Tlacotepec de Benito Juárez</t>
  </si>
  <si>
    <t>Zapotitlán Palmas</t>
  </si>
  <si>
    <t>Km. 123 Carr. Huajapan de León-Izucar de Matamoros, Caseta de inspeccion fitozoosanitaria</t>
  </si>
  <si>
    <t>D8</t>
  </si>
  <si>
    <t>Carretera Puerto Ángel - Miahuatlán Km. 111</t>
  </si>
  <si>
    <t>C2</t>
  </si>
  <si>
    <t>San Pablo Villa de Mitla</t>
  </si>
  <si>
    <t>Mitla</t>
  </si>
  <si>
    <t>Extracciones 9</t>
  </si>
  <si>
    <t>E8</t>
  </si>
  <si>
    <t>892A</t>
  </si>
  <si>
    <t>Tecali de Herrera</t>
  </si>
  <si>
    <t>4.8 km (por aire) ESE Tecali de Herrera, paraje “El Sifón” sobre carretera Tecali de Herrera-Ahuatepec</t>
  </si>
  <si>
    <t>labialis</t>
  </si>
  <si>
    <t>Huetamo</t>
  </si>
  <si>
    <t>Arteaga</t>
  </si>
  <si>
    <t>desviación a Sn. Isidro Gavilán sobre carr 190 Ocozocoautla-Cintalapa (aprox km 113)</t>
  </si>
  <si>
    <t>Ocozocoautla de Espinosa</t>
  </si>
  <si>
    <t>Villa Sola de Vega</t>
  </si>
  <si>
    <t>Tepeyahualco</t>
  </si>
  <si>
    <t>Cuencamé</t>
  </si>
  <si>
    <t>Amatlán de Cañas</t>
  </si>
  <si>
    <t>Road S from Barranca del Oro; stream under Puente el Barranqueno</t>
  </si>
  <si>
    <t>Villa Guerrero</t>
  </si>
  <si>
    <t>aprox. 23.6 km (en línea recta) W Villa Guerrero</t>
  </si>
  <si>
    <t>gularis?</t>
  </si>
  <si>
    <t>B92.1</t>
  </si>
  <si>
    <t>A8</t>
  </si>
  <si>
    <t>Campeche</t>
  </si>
  <si>
    <t>Pomuch</t>
  </si>
  <si>
    <t>angusticeps</t>
  </si>
  <si>
    <t>B4</t>
  </si>
  <si>
    <t>Hecelchakán</t>
  </si>
  <si>
    <t>La Huacana</t>
  </si>
  <si>
    <t>Carr. Nueva Italia-Arteaga, Puente Capirio</t>
  </si>
  <si>
    <t>Alrededores de San Jerónimo; salida del pueblo hacia Churumuco</t>
  </si>
  <si>
    <t>Extracciones 15</t>
  </si>
  <si>
    <t>Jose Carlos</t>
  </si>
  <si>
    <t>Km. 75 Carr. Mitla-San Pedro Totolapan</t>
  </si>
  <si>
    <t>C7</t>
  </si>
  <si>
    <t>G6</t>
  </si>
  <si>
    <t>H9</t>
  </si>
  <si>
    <t>Comentarios</t>
  </si>
  <si>
    <t>EXT 15</t>
  </si>
  <si>
    <t>A1</t>
  </si>
  <si>
    <t>Presa El Caracol</t>
  </si>
  <si>
    <t>259A</t>
  </si>
  <si>
    <t>No Acceso</t>
  </si>
  <si>
    <t>Isla Isabel</t>
  </si>
  <si>
    <t>G4</t>
  </si>
  <si>
    <t>5.0 km (en línea recta) NE Santiago Tamazola</t>
  </si>
  <si>
    <t>I2</t>
  </si>
  <si>
    <t>Camino a Omiltemi, antes de llegar a Amojileca</t>
  </si>
  <si>
    <t>E1</t>
  </si>
  <si>
    <t>Tapalpa</t>
  </si>
  <si>
    <t>5.9 km NE Tapalpa</t>
  </si>
  <si>
    <t>H6</t>
  </si>
  <si>
    <t>Mesillas, aprox. 15 km al E de Las Varas</t>
  </si>
  <si>
    <t>A7</t>
  </si>
  <si>
    <t>Carr. La Union-Cuencame; 5 km. E de Diego, 8.6 km. E de Carr. 40, 25.4 km. SW de Nazareno</t>
  </si>
  <si>
    <t>C28.14</t>
  </si>
  <si>
    <t>C28.13</t>
  </si>
  <si>
    <t>C28.4</t>
  </si>
  <si>
    <t>C28.5</t>
  </si>
  <si>
    <t>C30.5</t>
  </si>
  <si>
    <t>C28.15</t>
  </si>
  <si>
    <t>C28.19</t>
  </si>
  <si>
    <t>C28.18</t>
  </si>
  <si>
    <t>C28.16</t>
  </si>
  <si>
    <t>C28.17</t>
  </si>
  <si>
    <t>C28.20</t>
  </si>
  <si>
    <t>C30.1</t>
  </si>
  <si>
    <t>C30.2</t>
  </si>
  <si>
    <t>C28.11</t>
  </si>
  <si>
    <t>C30.3</t>
  </si>
  <si>
    <t>inornata/octolineata</t>
  </si>
  <si>
    <t>C4</t>
  </si>
  <si>
    <t>Lerdo</t>
  </si>
  <si>
    <t>Castaños</t>
  </si>
  <si>
    <t>San Pedro Totolápam</t>
  </si>
  <si>
    <t>No.</t>
  </si>
  <si>
    <t>C28.6</t>
  </si>
  <si>
    <t>C28.8</t>
  </si>
  <si>
    <t>C28.7</t>
  </si>
  <si>
    <t>C30.4</t>
  </si>
  <si>
    <t>C31.6</t>
  </si>
  <si>
    <t>C28.9</t>
  </si>
  <si>
    <t>LNG</t>
  </si>
  <si>
    <t>AQM</t>
  </si>
  <si>
    <t>El Colorado y Las Cadenas</t>
  </si>
  <si>
    <t>C31.8</t>
  </si>
  <si>
    <t>C31.7</t>
  </si>
  <si>
    <t>RWM</t>
  </si>
  <si>
    <t>A2</t>
  </si>
  <si>
    <t>B3</t>
  </si>
  <si>
    <t>C1</t>
  </si>
  <si>
    <t>D2</t>
  </si>
  <si>
    <t>D5</t>
  </si>
  <si>
    <t>D7</t>
  </si>
  <si>
    <t>E9</t>
  </si>
  <si>
    <t>G1</t>
  </si>
  <si>
    <t>G3</t>
  </si>
  <si>
    <t>G7</t>
  </si>
  <si>
    <t>H2</t>
  </si>
  <si>
    <t>C28.12</t>
  </si>
  <si>
    <t>Ya Extraída</t>
  </si>
  <si>
    <t>B7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</si>
  <si>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</si>
  <si>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</si>
  <si>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</si>
  <si>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</si>
  <si>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</si>
  <si>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</si>
  <si>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</si>
  <si>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</si>
  <si>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</si>
  <si>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G2</t>
  </si>
  <si>
    <t>I1</t>
  </si>
  <si>
    <t>La Barca</t>
  </si>
  <si>
    <t>Cerro "La Mesa", Canales</t>
  </si>
  <si>
    <t>Norma</t>
  </si>
  <si>
    <t>"rauni"</t>
  </si>
  <si>
    <t>Aguascalientes</t>
  </si>
  <si>
    <t>Camino a Microondas Los Gallos; 6 km. E de aeropuerto de Aguascalientes</t>
  </si>
  <si>
    <t>Galvanes (aprox 15 km por carr de Dolores Hidalgo hacia San Miguel de Allende)</t>
  </si>
  <si>
    <t>San Miguel de Allende</t>
  </si>
  <si>
    <t>Guanajuato</t>
  </si>
  <si>
    <t>Cuatro Ciénegas de Carranza</t>
  </si>
  <si>
    <t>Carr. Cuatro Cienegas-Nueva Atalaya; frente a Poza la Becerra, 18 km. S de Cuatro Cienegas</t>
  </si>
  <si>
    <t>gularis</t>
  </si>
  <si>
    <t>semiannulata</t>
  </si>
  <si>
    <t>scalaris</t>
  </si>
  <si>
    <t>Huejúcar</t>
  </si>
  <si>
    <t>Carretera Tepetongo-Colotlán</t>
  </si>
  <si>
    <t>Huejuquilla el Alto</t>
  </si>
  <si>
    <t>aprox. 6.0 km (en línea recta) W Huejuquilla el Alto</t>
  </si>
  <si>
    <t>Distrito Federal</t>
  </si>
  <si>
    <t>Delegación Tláhuac</t>
  </si>
  <si>
    <t>Sierra de Santa Catarina</t>
  </si>
  <si>
    <t>Acámbaro</t>
  </si>
  <si>
    <t>Cerro 1 km E Irámuco</t>
  </si>
  <si>
    <t>Carr. San Jose Iturbide-Mineral de Pozos; 5.8 km. S de Mineral de Pozos</t>
  </si>
  <si>
    <t>San Luis de la Paz</t>
  </si>
  <si>
    <t>Ocampo</t>
  </si>
  <si>
    <t>Rancho La Casita, Sierra Madera</t>
  </si>
  <si>
    <t>Antiguos Mineros del Norte</t>
  </si>
  <si>
    <t>CAYA</t>
  </si>
  <si>
    <t>semifasciata</t>
  </si>
  <si>
    <t>San Pedro de las Colonias</t>
  </si>
  <si>
    <t>San Isidro, Carr. San pedro-Monclova</t>
  </si>
  <si>
    <t>Carr. Melchor Muzquiz-Monclova</t>
  </si>
  <si>
    <t>CPA</t>
  </si>
  <si>
    <t>San Benito</t>
  </si>
  <si>
    <t>San Luis Potosí</t>
  </si>
  <si>
    <t>Nuevo León</t>
  </si>
  <si>
    <t>San Roberto</t>
  </si>
  <si>
    <t>APG</t>
  </si>
  <si>
    <t>Carretera Chihuahua-Ojinaga</t>
  </si>
  <si>
    <t>Monterrey</t>
  </si>
  <si>
    <t>SFDG</t>
  </si>
  <si>
    <t>Xilitla</t>
  </si>
  <si>
    <t>OIGS</t>
  </si>
  <si>
    <t>Queretaro</t>
  </si>
  <si>
    <t>Jalpan</t>
  </si>
  <si>
    <t>JCHZ</t>
  </si>
  <si>
    <t>La Tuna</t>
  </si>
  <si>
    <t>Zimapán</t>
  </si>
  <si>
    <t>Hidalgo</t>
  </si>
  <si>
    <t>NLMM</t>
  </si>
  <si>
    <t>rodecki</t>
  </si>
  <si>
    <t>Puerto Juárez</t>
  </si>
  <si>
    <t>Quintana Roo</t>
  </si>
  <si>
    <t>Majahaul</t>
  </si>
  <si>
    <t>Calakmul</t>
  </si>
  <si>
    <t>C. Norte</t>
  </si>
  <si>
    <t>Isla Contoy</t>
  </si>
  <si>
    <t>Escárcega</t>
  </si>
  <si>
    <t>Cozumel</t>
  </si>
  <si>
    <t>C31.3</t>
  </si>
  <si>
    <t>C31.4</t>
  </si>
  <si>
    <t>C30.8</t>
  </si>
  <si>
    <t>NO</t>
  </si>
  <si>
    <t>maslini</t>
  </si>
  <si>
    <t>cozumela</t>
  </si>
  <si>
    <t>María Elena</t>
  </si>
  <si>
    <t>septemvittata</t>
  </si>
  <si>
    <t>Colector</t>
  </si>
  <si>
    <t># colector</t>
  </si>
  <si>
    <t>Intermediate</t>
  </si>
  <si>
    <t>ng/μl</t>
  </si>
  <si>
    <t>ExtractionLibro</t>
  </si>
  <si>
    <t>ExtractionSample</t>
  </si>
  <si>
    <t>Type loc</t>
  </si>
  <si>
    <t>√</t>
  </si>
  <si>
    <t>undescribed</t>
  </si>
  <si>
    <t>ID</t>
  </si>
  <si>
    <t>Elevación</t>
  </si>
  <si>
    <t>Volumen</t>
  </si>
  <si>
    <t>ul p/500 ng</t>
  </si>
  <si>
    <t>R</t>
  </si>
  <si>
    <t>R*</t>
  </si>
  <si>
    <t>Bad</t>
  </si>
  <si>
    <t>Low</t>
  </si>
  <si>
    <t>High</t>
  </si>
  <si>
    <t>Q hmw</t>
  </si>
  <si>
    <t>Q deg</t>
  </si>
  <si>
    <t>Photo</t>
  </si>
  <si>
    <t>15-20</t>
  </si>
  <si>
    <t>High-</t>
  </si>
  <si>
    <t>&gt;500</t>
  </si>
  <si>
    <t>Extraction</t>
  </si>
  <si>
    <t>Tissue</t>
  </si>
  <si>
    <t>Status</t>
  </si>
  <si>
    <t>Sample</t>
  </si>
  <si>
    <r>
      <t>communis</t>
    </r>
    <r>
      <rPr>
        <sz val="12"/>
        <color indexed="8"/>
        <rFont val="Times New Roman"/>
        <family val="1"/>
      </rPr>
      <t xml:space="preserve"> x  </t>
    </r>
    <r>
      <rPr>
        <i/>
        <sz val="12"/>
        <color indexed="8"/>
        <rFont val="Times New Roman"/>
        <family val="1"/>
      </rPr>
      <t>zweifeli?</t>
    </r>
  </si>
  <si>
    <t>gularis cf.</t>
  </si>
  <si>
    <t xml:space="preserve">gularis cf. </t>
  </si>
  <si>
    <t>scalaris cf.</t>
  </si>
  <si>
    <t>stictogramma</t>
  </si>
  <si>
    <t>UH1</t>
  </si>
  <si>
    <t>R**</t>
  </si>
  <si>
    <t>superfluous bkp</t>
  </si>
  <si>
    <t>&gt;100</t>
  </si>
  <si>
    <t>25-30</t>
  </si>
  <si>
    <t>20-23</t>
  </si>
  <si>
    <t>UH2</t>
  </si>
  <si>
    <t>add</t>
  </si>
  <si>
    <t>Caja new</t>
  </si>
  <si>
    <t>Cell new</t>
  </si>
  <si>
    <r>
      <t xml:space="preserve">En caja 3, A5 hay un tubo con tejido y el no. ANMO </t>
    </r>
    <r>
      <rPr>
        <b/>
        <sz val="12"/>
        <color indexed="8"/>
        <rFont val="Times New Roman"/>
        <family val="1"/>
      </rPr>
      <t>3759</t>
    </r>
    <r>
      <rPr>
        <sz val="12"/>
        <color indexed="8"/>
        <rFont val="Times New Roman"/>
        <family val="1"/>
      </rPr>
      <t>, no 3769 escrito varias veces</t>
    </r>
  </si>
  <si>
    <t>Plate</t>
  </si>
  <si>
    <t>Cell</t>
  </si>
  <si>
    <t>Box</t>
  </si>
  <si>
    <t>ENS</t>
  </si>
  <si>
    <t>“guttata”</t>
  </si>
  <si>
    <t>presumably costata</t>
  </si>
  <si>
    <t>OFV</t>
  </si>
  <si>
    <t>Good</t>
  </si>
  <si>
    <t>Bad. Very little</t>
  </si>
  <si>
    <t>CJPV 7,12</t>
  </si>
  <si>
    <t>Bad?</t>
  </si>
  <si>
    <t>ID por EPR como lineatissima</t>
  </si>
  <si>
    <t>Vol</t>
  </si>
  <si>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</si>
  <si>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</si>
  <si>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</si>
  <si>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</si>
  <si>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</si>
  <si>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</si>
  <si>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</si>
  <si>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</si>
  <si>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</si>
  <si>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</si>
  <si>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</si>
  <si>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</si>
  <si>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</si>
  <si>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</si>
  <si>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</si>
  <si>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</si>
  <si>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</si>
  <si>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</si>
  <si>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</si>
  <si>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</si>
  <si>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</si>
  <si>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H10</t>
  </si>
  <si>
    <t>H11</t>
  </si>
  <si>
    <t>H12</t>
  </si>
  <si>
    <t>Well</t>
  </si>
  <si>
    <t>Vol H2O</t>
  </si>
  <si>
    <t>l</t>
  </si>
  <si>
    <t>Se requerían 19.38 ul; sólo había 17 ul</t>
  </si>
  <si>
    <t>pend</t>
  </si>
  <si>
    <t>Discarded</t>
  </si>
  <si>
    <t>concentration after genomiphied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</si>
</sst>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13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8">
    <xf numFmtId="0" fontId="0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99">
    <xf numFmtId="0" fontId="0" fillId="0" borderId="0" xfId="0"/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7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horizontal="center" vertical="center"/>
    </xf>
  </cellXfs>
  <cellStyles count="7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Normal" xfId="0" builtinId="0"/>
    <cellStyle name="Normal 3" xfId="1" xr:uid="{00000000-0005-0000-0000-00004D000000}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218"/>
  <sheetViews>
    <sheetView tabSelected="1" zoomScale="85" zoomScaleNormal="85" zoomScalePageLayoutView="85" workbookViewId="0">
      <pane ySplit="1" topLeftCell="A2" activePane="bottomLeft" state="frozen"/>
      <selection pane="bottomLeft" activeCell="J11" sqref="J11"/>
    </sheetView>
  </sheetViews>
  <sheetFormatPr baseColWidth="10" defaultColWidth="11.5" defaultRowHeight="16"/>
  <cols>
    <col min="1" max="1" width="4.5" style="4" bestFit="1" customWidth="1"/>
    <col min="2" max="2" width="9.6640625" style="4" customWidth="1"/>
    <col min="3" max="3" width="4.5" style="4" customWidth="1"/>
    <col min="4" max="4" width="10.6640625" style="4" customWidth="1"/>
    <col min="5" max="5" width="9.83203125" style="4" customWidth="1"/>
    <col min="6" max="6" width="13.5" style="5" customWidth="1"/>
    <col min="7" max="7" width="13.6640625" style="5" customWidth="1"/>
    <col min="8" max="8" width="8.33203125" style="18" customWidth="1"/>
    <col min="9" max="9" width="15.5" style="17" customWidth="1"/>
    <col min="10" max="10" width="10.6640625" style="4" customWidth="1"/>
    <col min="11" max="11" width="16.33203125" style="6" customWidth="1"/>
    <col min="12" max="12" width="69.83203125" style="8" customWidth="1"/>
    <col min="13" max="13" width="13" style="7" customWidth="1"/>
    <col min="14" max="14" width="15" style="7" customWidth="1"/>
    <col min="15" max="15" width="11" style="4" customWidth="1"/>
    <col min="16" max="16" width="8" style="4" customWidth="1"/>
    <col min="17" max="17" width="9.6640625" style="4" customWidth="1"/>
    <col min="18" max="18" width="14.83203125" style="4" customWidth="1"/>
    <col min="19" max="19" width="12.33203125" style="4" customWidth="1"/>
    <col min="20" max="20" width="9.83203125" style="4" bestFit="1" customWidth="1"/>
    <col min="21" max="21" width="10" style="4" customWidth="1"/>
    <col min="22" max="22" width="14.6640625" style="4" customWidth="1"/>
    <col min="23" max="23" width="12" style="4" customWidth="1"/>
    <col min="24" max="24" width="11.33203125" style="4" customWidth="1"/>
    <col min="25" max="25" width="9.33203125" style="4" bestFit="1" customWidth="1"/>
    <col min="26" max="26" width="10.83203125" style="22" bestFit="1" customWidth="1"/>
    <col min="27" max="27" width="10.6640625" style="25" bestFit="1" customWidth="1"/>
    <col min="28" max="28" width="10.6640625" style="4" customWidth="1"/>
    <col min="29" max="29" width="11.5" style="4"/>
    <col min="30" max="30" width="11.5" style="47"/>
    <col min="31" max="16384" width="11.5" style="4"/>
  </cols>
  <sheetData>
    <row r="1" spans="1:31" s="13" customFormat="1">
      <c r="A1" s="13" t="s">
        <v>465</v>
      </c>
      <c r="D1" s="13" t="s">
        <v>456</v>
      </c>
      <c r="E1" s="13" t="s">
        <v>457</v>
      </c>
      <c r="F1" s="13" t="s">
        <v>1</v>
      </c>
      <c r="G1" s="13" t="s">
        <v>2</v>
      </c>
      <c r="H1" s="13" t="s">
        <v>462</v>
      </c>
      <c r="I1" s="13" t="s">
        <v>73</v>
      </c>
      <c r="J1" s="13" t="s">
        <v>3</v>
      </c>
      <c r="K1" s="13" t="s">
        <v>4</v>
      </c>
      <c r="L1" s="14" t="s">
        <v>5</v>
      </c>
      <c r="M1" s="14" t="s">
        <v>6</v>
      </c>
      <c r="N1" s="14" t="s">
        <v>7</v>
      </c>
      <c r="O1" s="13" t="s">
        <v>466</v>
      </c>
      <c r="P1" s="13" t="s">
        <v>8</v>
      </c>
      <c r="Q1" s="13" t="s">
        <v>9</v>
      </c>
      <c r="R1" s="13" t="s">
        <v>460</v>
      </c>
      <c r="S1" s="13" t="s">
        <v>461</v>
      </c>
      <c r="T1" s="13" t="s">
        <v>502</v>
      </c>
      <c r="U1" s="13" t="s">
        <v>501</v>
      </c>
      <c r="V1" s="13" t="s">
        <v>474</v>
      </c>
      <c r="W1" s="13" t="s">
        <v>475</v>
      </c>
      <c r="X1" s="13" t="s">
        <v>476</v>
      </c>
      <c r="Y1" s="15" t="s">
        <v>512</v>
      </c>
      <c r="Z1" s="13" t="s">
        <v>459</v>
      </c>
      <c r="AA1" s="23" t="s">
        <v>468</v>
      </c>
      <c r="AB1" s="13" t="s">
        <v>312</v>
      </c>
      <c r="AC1" s="13" t="s">
        <v>482</v>
      </c>
      <c r="AD1" s="46" t="s">
        <v>483</v>
      </c>
    </row>
    <row r="2" spans="1:31" s="2" customFormat="1">
      <c r="A2" s="22">
        <v>1</v>
      </c>
      <c r="B2" s="22" t="s">
        <v>463</v>
      </c>
      <c r="C2" s="22"/>
      <c r="D2" s="22" t="s">
        <v>20</v>
      </c>
      <c r="E2" s="22">
        <v>1528</v>
      </c>
      <c r="F2" s="1" t="s">
        <v>11</v>
      </c>
      <c r="G2" s="1"/>
      <c r="H2" s="19" t="s">
        <v>463</v>
      </c>
      <c r="I2" s="16"/>
      <c r="J2" s="22" t="s">
        <v>12</v>
      </c>
      <c r="K2" s="2" t="s">
        <v>303</v>
      </c>
      <c r="L2" s="3" t="s">
        <v>304</v>
      </c>
      <c r="M2" s="3">
        <v>18.853222222222225</v>
      </c>
      <c r="N2" s="3">
        <v>-102.14205555555556</v>
      </c>
      <c r="O2" s="22">
        <v>171</v>
      </c>
      <c r="P2" s="22" t="s">
        <v>25</v>
      </c>
      <c r="Q2" s="22"/>
      <c r="R2" s="22" t="s">
        <v>81</v>
      </c>
      <c r="S2" s="22"/>
      <c r="T2" s="22">
        <v>1</v>
      </c>
      <c r="U2" s="22" t="s">
        <v>107</v>
      </c>
      <c r="V2" s="22" t="s">
        <v>473</v>
      </c>
      <c r="W2" s="22" t="s">
        <v>0</v>
      </c>
      <c r="X2" s="22">
        <v>1</v>
      </c>
      <c r="Y2" s="22">
        <v>100</v>
      </c>
      <c r="Z2" s="26">
        <v>44.6</v>
      </c>
      <c r="AA2" s="24">
        <f>500/Z2</f>
        <v>11.210762331838565</v>
      </c>
      <c r="AB2" s="22"/>
      <c r="AC2" s="22" t="s">
        <v>469</v>
      </c>
      <c r="AD2" s="12" t="s">
        <v>480</v>
      </c>
      <c r="AE2" s="4"/>
    </row>
    <row r="3" spans="1:31">
      <c r="A3" s="4">
        <v>1</v>
      </c>
      <c r="D3" s="22" t="s">
        <v>20</v>
      </c>
      <c r="E3" s="22">
        <v>1528</v>
      </c>
      <c r="F3" s="1" t="s">
        <v>11</v>
      </c>
      <c r="G3" s="1"/>
      <c r="H3" s="19" t="s">
        <v>463</v>
      </c>
      <c r="I3" s="16"/>
      <c r="J3" s="22" t="s">
        <v>12</v>
      </c>
      <c r="K3" s="2" t="s">
        <v>303</v>
      </c>
      <c r="L3" s="3" t="s">
        <v>304</v>
      </c>
      <c r="M3" s="3">
        <v>18.853222222222225</v>
      </c>
      <c r="N3" s="3">
        <v>-102.14205555555556</v>
      </c>
      <c r="O3" s="22">
        <v>171</v>
      </c>
      <c r="P3" s="22" t="s">
        <v>25</v>
      </c>
      <c r="Q3" s="22"/>
      <c r="R3" s="22"/>
      <c r="S3" s="22"/>
      <c r="T3" s="22">
        <v>3</v>
      </c>
      <c r="U3" s="22" t="s">
        <v>319</v>
      </c>
      <c r="AC3" s="4" t="s">
        <v>491</v>
      </c>
      <c r="AD3" s="4" t="s">
        <v>481</v>
      </c>
    </row>
    <row r="4" spans="1:31">
      <c r="A4" s="4">
        <v>2</v>
      </c>
      <c r="B4" s="4" t="s">
        <v>463</v>
      </c>
      <c r="D4" s="22" t="s">
        <v>10</v>
      </c>
      <c r="E4" s="22">
        <v>3084</v>
      </c>
      <c r="F4" s="1" t="s">
        <v>11</v>
      </c>
      <c r="G4" s="1"/>
      <c r="H4" s="19"/>
      <c r="J4" s="4" t="s">
        <v>12</v>
      </c>
      <c r="K4" s="6" t="s">
        <v>284</v>
      </c>
      <c r="L4" s="6" t="s">
        <v>49</v>
      </c>
      <c r="M4" s="7">
        <v>18.542777777777779</v>
      </c>
      <c r="N4" s="7">
        <v>-101.26991666666666</v>
      </c>
      <c r="O4" s="4">
        <v>214</v>
      </c>
      <c r="P4" s="4" t="s">
        <v>25</v>
      </c>
      <c r="R4" s="4" t="s">
        <v>19</v>
      </c>
      <c r="S4" s="4">
        <v>6.9</v>
      </c>
      <c r="T4" s="22">
        <v>2</v>
      </c>
      <c r="U4" s="22" t="s">
        <v>51</v>
      </c>
      <c r="V4" s="22" t="s">
        <v>472</v>
      </c>
      <c r="W4" s="22" t="s">
        <v>472</v>
      </c>
      <c r="X4" s="22">
        <v>2</v>
      </c>
      <c r="Y4" s="4">
        <v>150</v>
      </c>
      <c r="Z4" s="26">
        <v>41.2</v>
      </c>
      <c r="AA4" s="24">
        <f>500/Z4</f>
        <v>12.135922330097086</v>
      </c>
      <c r="AC4" s="22" t="s">
        <v>469</v>
      </c>
      <c r="AD4" s="12" t="s">
        <v>480</v>
      </c>
    </row>
    <row r="5" spans="1:31">
      <c r="A5" s="4">
        <v>2</v>
      </c>
      <c r="D5" s="22" t="s">
        <v>10</v>
      </c>
      <c r="E5" s="22">
        <v>3092</v>
      </c>
      <c r="F5" s="1" t="s">
        <v>11</v>
      </c>
      <c r="G5" s="1"/>
      <c r="H5" s="19"/>
      <c r="J5" s="4" t="s">
        <v>12</v>
      </c>
      <c r="K5" s="6" t="s">
        <v>284</v>
      </c>
      <c r="L5" s="8" t="s">
        <v>305</v>
      </c>
      <c r="M5" s="7">
        <v>18.532638888888886</v>
      </c>
      <c r="N5" s="7">
        <v>-101.33202777777777</v>
      </c>
      <c r="O5" s="4">
        <v>198</v>
      </c>
      <c r="P5" s="4" t="s">
        <v>25</v>
      </c>
      <c r="R5" s="22"/>
      <c r="S5" s="11"/>
      <c r="T5" s="22">
        <v>3</v>
      </c>
      <c r="U5" s="11" t="s">
        <v>55</v>
      </c>
      <c r="AD5" s="4" t="s">
        <v>481</v>
      </c>
      <c r="AE5" s="62"/>
    </row>
    <row r="6" spans="1:31" s="22" customFormat="1">
      <c r="A6" s="4">
        <v>3</v>
      </c>
      <c r="B6" s="4" t="s">
        <v>463</v>
      </c>
      <c r="C6" s="4"/>
      <c r="D6" s="22" t="s">
        <v>10</v>
      </c>
      <c r="E6" s="22">
        <v>1076</v>
      </c>
      <c r="F6" s="1" t="s">
        <v>11</v>
      </c>
      <c r="G6" s="1"/>
      <c r="H6" s="19"/>
      <c r="I6" s="17"/>
      <c r="J6" s="4" t="s">
        <v>12</v>
      </c>
      <c r="K6" s="6" t="s">
        <v>285</v>
      </c>
      <c r="L6" s="8" t="s">
        <v>17</v>
      </c>
      <c r="M6" s="7">
        <v>18.554944444444445</v>
      </c>
      <c r="N6" s="7">
        <v>-101.97044444444445</v>
      </c>
      <c r="O6" s="4">
        <v>368</v>
      </c>
      <c r="P6" s="4" t="s">
        <v>25</v>
      </c>
      <c r="Q6" s="4"/>
      <c r="R6" s="4" t="s">
        <v>306</v>
      </c>
      <c r="S6" s="4" t="s">
        <v>79</v>
      </c>
      <c r="T6" s="22">
        <v>1</v>
      </c>
      <c r="U6" s="22" t="s">
        <v>370</v>
      </c>
      <c r="V6" s="22" t="s">
        <v>473</v>
      </c>
      <c r="W6" s="22" t="s">
        <v>473</v>
      </c>
      <c r="X6" s="22">
        <v>3</v>
      </c>
      <c r="Y6" s="4" t="s">
        <v>479</v>
      </c>
      <c r="Z6" s="26">
        <v>61.2</v>
      </c>
      <c r="AA6" s="24">
        <f>500/Z6</f>
        <v>8.1699346405228752</v>
      </c>
      <c r="AC6" s="4" t="s">
        <v>470</v>
      </c>
      <c r="AD6" s="12" t="s">
        <v>480</v>
      </c>
      <c r="AE6" s="4"/>
    </row>
    <row r="7" spans="1:31">
      <c r="A7" s="4">
        <v>3</v>
      </c>
      <c r="D7" s="22" t="s">
        <v>10</v>
      </c>
      <c r="E7" s="22">
        <v>1075</v>
      </c>
      <c r="F7" s="1" t="s">
        <v>11</v>
      </c>
      <c r="G7" s="1"/>
      <c r="H7" s="19"/>
      <c r="J7" s="4" t="s">
        <v>12</v>
      </c>
      <c r="K7" s="6" t="s">
        <v>285</v>
      </c>
      <c r="L7" s="8" t="s">
        <v>17</v>
      </c>
      <c r="M7" s="7">
        <v>18.554944444444445</v>
      </c>
      <c r="N7" s="7">
        <v>-101.97044444444445</v>
      </c>
      <c r="O7" s="4">
        <v>368</v>
      </c>
      <c r="P7" s="4" t="s">
        <v>15</v>
      </c>
      <c r="Q7" s="4" t="s">
        <v>16</v>
      </c>
      <c r="R7" s="22"/>
      <c r="S7" s="22"/>
      <c r="T7" s="22">
        <v>3</v>
      </c>
      <c r="U7" s="22" t="s">
        <v>364</v>
      </c>
      <c r="AD7" s="4" t="s">
        <v>481</v>
      </c>
    </row>
    <row r="8" spans="1:31" s="27" customFormat="1">
      <c r="A8" s="27">
        <v>4</v>
      </c>
      <c r="B8" s="27" t="s">
        <v>463</v>
      </c>
      <c r="D8" s="27" t="s">
        <v>20</v>
      </c>
      <c r="E8" s="27">
        <v>1085</v>
      </c>
      <c r="F8" s="87" t="s">
        <v>21</v>
      </c>
      <c r="G8" s="87"/>
      <c r="H8" s="88" t="s">
        <v>463</v>
      </c>
      <c r="I8" s="89"/>
      <c r="J8" s="27" t="s">
        <v>22</v>
      </c>
      <c r="K8" s="90" t="s">
        <v>23</v>
      </c>
      <c r="L8" s="91" t="s">
        <v>24</v>
      </c>
      <c r="M8" s="92">
        <v>17.77375</v>
      </c>
      <c r="N8" s="92">
        <v>-96.955250000000007</v>
      </c>
      <c r="O8" s="27">
        <v>594</v>
      </c>
      <c r="P8" s="27" t="s">
        <v>13</v>
      </c>
      <c r="Q8" s="27" t="s">
        <v>25</v>
      </c>
      <c r="R8" s="27" t="s">
        <v>19</v>
      </c>
      <c r="S8" s="27">
        <v>15.12</v>
      </c>
      <c r="T8" s="27">
        <v>2</v>
      </c>
      <c r="U8" s="27" t="s">
        <v>100</v>
      </c>
      <c r="V8" s="27" t="s">
        <v>472</v>
      </c>
      <c r="W8" s="27" t="s">
        <v>472</v>
      </c>
      <c r="X8" s="27">
        <v>4</v>
      </c>
      <c r="Y8" s="27">
        <v>20</v>
      </c>
      <c r="Z8" s="27">
        <v>25.8</v>
      </c>
      <c r="AA8" s="93">
        <f>500/Z8</f>
        <v>19.379844961240309</v>
      </c>
      <c r="AB8" s="27" t="s">
        <v>540</v>
      </c>
      <c r="AC8" s="27" t="s">
        <v>469</v>
      </c>
      <c r="AD8" s="94" t="s">
        <v>480</v>
      </c>
    </row>
    <row r="9" spans="1:31" s="43" customFormat="1">
      <c r="A9" s="43">
        <v>4</v>
      </c>
      <c r="D9" s="43" t="s">
        <v>20</v>
      </c>
      <c r="E9" s="43">
        <v>1085</v>
      </c>
      <c r="F9" s="72" t="s">
        <v>21</v>
      </c>
      <c r="G9" s="72"/>
      <c r="H9" s="73" t="s">
        <v>463</v>
      </c>
      <c r="I9" s="74"/>
      <c r="J9" s="43" t="s">
        <v>22</v>
      </c>
      <c r="K9" s="36" t="s">
        <v>23</v>
      </c>
      <c r="L9" s="75" t="s">
        <v>24</v>
      </c>
      <c r="M9" s="76">
        <v>17.77375</v>
      </c>
      <c r="N9" s="76">
        <v>-96.955250000000007</v>
      </c>
      <c r="O9" s="43">
        <v>594</v>
      </c>
      <c r="P9" s="43" t="s">
        <v>13</v>
      </c>
      <c r="Q9" s="43" t="s">
        <v>25</v>
      </c>
      <c r="T9" s="43">
        <v>3</v>
      </c>
      <c r="U9" s="43" t="s">
        <v>301</v>
      </c>
      <c r="AA9" s="77"/>
      <c r="AC9" s="43" t="s">
        <v>491</v>
      </c>
      <c r="AD9" s="43" t="s">
        <v>481</v>
      </c>
    </row>
    <row r="10" spans="1:31">
      <c r="A10" s="4">
        <v>5</v>
      </c>
      <c r="B10" s="4" t="s">
        <v>463</v>
      </c>
      <c r="D10" s="22" t="s">
        <v>10</v>
      </c>
      <c r="E10" s="22">
        <v>4006</v>
      </c>
      <c r="F10" s="1" t="s">
        <v>21</v>
      </c>
      <c r="G10" s="1"/>
      <c r="H10" s="19"/>
      <c r="I10" s="16"/>
      <c r="J10" s="22" t="s">
        <v>28</v>
      </c>
      <c r="K10" s="43"/>
      <c r="L10" s="22"/>
      <c r="M10" s="22"/>
      <c r="N10" s="22"/>
      <c r="O10" s="22"/>
      <c r="P10" s="22" t="s">
        <v>13</v>
      </c>
      <c r="Q10" s="22" t="s">
        <v>14</v>
      </c>
      <c r="R10" s="22" t="s">
        <v>328</v>
      </c>
      <c r="S10" s="22" t="s">
        <v>330</v>
      </c>
      <c r="T10" s="22">
        <v>2</v>
      </c>
      <c r="U10" s="22" t="s">
        <v>238</v>
      </c>
      <c r="V10" s="22" t="s">
        <v>472</v>
      </c>
      <c r="W10" s="22" t="s">
        <v>472</v>
      </c>
      <c r="X10" s="22">
        <v>5</v>
      </c>
      <c r="Y10" s="22">
        <v>250</v>
      </c>
      <c r="Z10" s="26">
        <v>26.6</v>
      </c>
      <c r="AA10" s="24">
        <f>500/Z10</f>
        <v>18.796992481203006</v>
      </c>
      <c r="AB10" s="22"/>
      <c r="AC10" s="22" t="s">
        <v>469</v>
      </c>
      <c r="AD10" s="12" t="s">
        <v>480</v>
      </c>
    </row>
    <row r="11" spans="1:31">
      <c r="A11" s="4">
        <v>5</v>
      </c>
      <c r="B11" s="4" t="s">
        <v>463</v>
      </c>
      <c r="D11" s="22" t="s">
        <v>10</v>
      </c>
      <c r="E11" s="22">
        <v>4007</v>
      </c>
      <c r="F11" s="1" t="s">
        <v>21</v>
      </c>
      <c r="G11" s="1"/>
      <c r="H11" s="19"/>
      <c r="I11" s="16"/>
      <c r="J11" s="22" t="s">
        <v>28</v>
      </c>
      <c r="K11" s="43"/>
      <c r="L11" s="22"/>
      <c r="M11" s="22"/>
      <c r="N11" s="22"/>
      <c r="O11" s="22"/>
      <c r="P11" s="22" t="s">
        <v>15</v>
      </c>
      <c r="Q11" s="22"/>
      <c r="R11" s="22"/>
      <c r="S11" s="22"/>
      <c r="T11" s="22">
        <v>2</v>
      </c>
      <c r="U11" s="11" t="s">
        <v>95</v>
      </c>
      <c r="V11" s="37" t="s">
        <v>458</v>
      </c>
      <c r="W11" s="37" t="s">
        <v>472</v>
      </c>
      <c r="X11" s="37" t="s">
        <v>495</v>
      </c>
      <c r="Y11" s="37">
        <v>20</v>
      </c>
      <c r="Z11" s="45">
        <v>33.6</v>
      </c>
      <c r="AA11" s="24">
        <f>500/Z11</f>
        <v>14.88095238095238</v>
      </c>
      <c r="AB11" s="37"/>
      <c r="AC11" s="44" t="s">
        <v>469</v>
      </c>
      <c r="AD11" s="47" t="s">
        <v>480</v>
      </c>
    </row>
    <row r="12" spans="1:31">
      <c r="A12" s="4">
        <v>6</v>
      </c>
      <c r="B12" s="4" t="s">
        <v>463</v>
      </c>
      <c r="D12" s="22" t="s">
        <v>10</v>
      </c>
      <c r="E12" s="22">
        <v>2649</v>
      </c>
      <c r="F12" s="1" t="s">
        <v>30</v>
      </c>
      <c r="G12" s="1" t="s">
        <v>30</v>
      </c>
      <c r="H12" s="19"/>
      <c r="J12" s="4" t="s">
        <v>22</v>
      </c>
      <c r="K12" s="6" t="s">
        <v>32</v>
      </c>
      <c r="L12" s="8" t="s">
        <v>33</v>
      </c>
      <c r="M12" s="7">
        <v>16.582083333333301</v>
      </c>
      <c r="N12" s="7">
        <v>-96.783694444444436</v>
      </c>
      <c r="O12" s="4">
        <v>1490</v>
      </c>
      <c r="P12" s="4" t="s">
        <v>15</v>
      </c>
      <c r="Q12" s="4" t="s">
        <v>14</v>
      </c>
      <c r="R12" s="4" t="s">
        <v>19</v>
      </c>
      <c r="S12" s="4">
        <v>15.2</v>
      </c>
      <c r="T12" s="22">
        <v>2</v>
      </c>
      <c r="U12" s="22" t="s">
        <v>366</v>
      </c>
      <c r="V12" s="22" t="s">
        <v>472</v>
      </c>
      <c r="W12" s="22" t="s">
        <v>472</v>
      </c>
      <c r="X12" s="22">
        <v>6</v>
      </c>
      <c r="Y12" s="4">
        <v>20</v>
      </c>
      <c r="Z12" s="26">
        <v>33</v>
      </c>
      <c r="AA12" s="24">
        <f>500/Z12</f>
        <v>15.151515151515152</v>
      </c>
      <c r="AC12" s="22" t="s">
        <v>469</v>
      </c>
      <c r="AD12" s="12" t="s">
        <v>480</v>
      </c>
    </row>
    <row r="13" spans="1:31">
      <c r="A13" s="4">
        <v>6</v>
      </c>
      <c r="D13" s="4" t="s">
        <v>10</v>
      </c>
      <c r="E13" s="4">
        <v>2649</v>
      </c>
      <c r="F13" s="5" t="s">
        <v>30</v>
      </c>
      <c r="G13" s="5" t="s">
        <v>30</v>
      </c>
      <c r="J13" s="4" t="s">
        <v>22</v>
      </c>
      <c r="K13" s="6" t="s">
        <v>32</v>
      </c>
      <c r="L13" s="8" t="s">
        <v>33</v>
      </c>
      <c r="M13" s="7">
        <v>16.582083333333301</v>
      </c>
      <c r="N13" s="7">
        <v>-96.783694444444436</v>
      </c>
      <c r="O13" s="4">
        <v>1490</v>
      </c>
      <c r="P13" s="4" t="s">
        <v>15</v>
      </c>
      <c r="Q13" s="4" t="s">
        <v>14</v>
      </c>
      <c r="R13" s="22"/>
      <c r="S13" s="22"/>
      <c r="T13" s="22">
        <v>3</v>
      </c>
      <c r="U13" s="22" t="s">
        <v>153</v>
      </c>
      <c r="AC13" s="4" t="s">
        <v>491</v>
      </c>
      <c r="AD13" s="4" t="s">
        <v>481</v>
      </c>
    </row>
    <row r="14" spans="1:31" s="22" customFormat="1">
      <c r="A14" s="22">
        <v>7</v>
      </c>
      <c r="B14" s="22" t="s">
        <v>463</v>
      </c>
      <c r="D14" s="22" t="s">
        <v>20</v>
      </c>
      <c r="E14" s="22">
        <v>1090</v>
      </c>
      <c r="F14" s="1" t="s">
        <v>30</v>
      </c>
      <c r="G14" s="1" t="s">
        <v>30</v>
      </c>
      <c r="H14" s="19"/>
      <c r="I14" s="16"/>
      <c r="J14" s="22" t="s">
        <v>22</v>
      </c>
      <c r="K14" s="2" t="s">
        <v>236</v>
      </c>
      <c r="L14" s="3" t="s">
        <v>237</v>
      </c>
      <c r="M14" s="9">
        <v>16.945611111111113</v>
      </c>
      <c r="N14" s="9">
        <v>-96.454750000000004</v>
      </c>
      <c r="O14" s="22">
        <v>1641</v>
      </c>
      <c r="P14" s="4" t="s">
        <v>25</v>
      </c>
      <c r="R14" s="22" t="s">
        <v>19</v>
      </c>
      <c r="S14" s="22">
        <v>8.1300000000000008</v>
      </c>
      <c r="T14" s="22">
        <v>1</v>
      </c>
      <c r="U14" s="22" t="s">
        <v>100</v>
      </c>
      <c r="V14" s="22" t="s">
        <v>458</v>
      </c>
      <c r="W14" s="22" t="s">
        <v>472</v>
      </c>
      <c r="X14" s="22">
        <v>7</v>
      </c>
      <c r="Y14" s="22">
        <v>150</v>
      </c>
      <c r="Z14" s="26">
        <v>72.8</v>
      </c>
      <c r="AA14" s="24">
        <f>500/Z14</f>
        <v>6.8681318681318686</v>
      </c>
      <c r="AC14" s="22" t="s">
        <v>469</v>
      </c>
      <c r="AD14" s="12" t="s">
        <v>480</v>
      </c>
    </row>
    <row r="15" spans="1:31" s="27" customFormat="1">
      <c r="A15" s="27">
        <v>7</v>
      </c>
      <c r="B15" s="27" t="s">
        <v>463</v>
      </c>
      <c r="D15" s="27" t="s">
        <v>20</v>
      </c>
      <c r="E15" s="27">
        <v>1091</v>
      </c>
      <c r="F15" s="87" t="s">
        <v>30</v>
      </c>
      <c r="G15" s="87" t="s">
        <v>30</v>
      </c>
      <c r="H15" s="88"/>
      <c r="I15" s="89"/>
      <c r="J15" s="27" t="s">
        <v>22</v>
      </c>
      <c r="K15" s="90" t="s">
        <v>349</v>
      </c>
      <c r="L15" s="91" t="s">
        <v>308</v>
      </c>
      <c r="M15" s="92">
        <v>16.704999999999998</v>
      </c>
      <c r="N15" s="92">
        <v>-96.328194444444435</v>
      </c>
      <c r="O15" s="27">
        <v>1164</v>
      </c>
      <c r="P15" s="27" t="s">
        <v>25</v>
      </c>
      <c r="T15" s="27">
        <v>2</v>
      </c>
      <c r="U15" s="27" t="s">
        <v>386</v>
      </c>
      <c r="V15" s="27" t="s">
        <v>458</v>
      </c>
      <c r="W15" s="27" t="s">
        <v>458</v>
      </c>
      <c r="X15" s="27" t="s">
        <v>541</v>
      </c>
      <c r="Y15" s="27">
        <v>146</v>
      </c>
      <c r="Z15" s="27">
        <v>37.799999999999997</v>
      </c>
      <c r="AA15" s="93">
        <f>500/Z15</f>
        <v>13.227513227513228</v>
      </c>
      <c r="AC15" s="27" t="s">
        <v>470</v>
      </c>
      <c r="AD15" s="27" t="s">
        <v>480</v>
      </c>
      <c r="AE15" s="27" t="s">
        <v>542</v>
      </c>
    </row>
    <row r="16" spans="1:31">
      <c r="A16" s="4">
        <v>8</v>
      </c>
      <c r="B16" s="4" t="s">
        <v>463</v>
      </c>
      <c r="D16" s="22" t="s">
        <v>10</v>
      </c>
      <c r="E16" s="22">
        <v>3936</v>
      </c>
      <c r="F16" s="1" t="s">
        <v>30</v>
      </c>
      <c r="G16" s="1" t="s">
        <v>30</v>
      </c>
      <c r="H16" s="19"/>
      <c r="I16" s="16"/>
      <c r="J16" s="22" t="s">
        <v>28</v>
      </c>
      <c r="K16" s="43"/>
      <c r="L16" s="22"/>
      <c r="M16" s="22"/>
      <c r="N16" s="22"/>
      <c r="O16" s="22"/>
      <c r="Q16" s="22"/>
      <c r="R16" s="22" t="s">
        <v>328</v>
      </c>
      <c r="S16" s="22" t="s">
        <v>331</v>
      </c>
      <c r="T16" s="22">
        <v>1</v>
      </c>
      <c r="U16" s="22" t="s">
        <v>301</v>
      </c>
      <c r="V16" s="22" t="s">
        <v>473</v>
      </c>
      <c r="W16" s="22" t="s">
        <v>473</v>
      </c>
      <c r="X16" s="22">
        <v>8</v>
      </c>
      <c r="Y16" s="22">
        <v>250</v>
      </c>
      <c r="Z16" s="26">
        <v>104</v>
      </c>
      <c r="AA16" s="24">
        <f>500/Z16</f>
        <v>4.8076923076923075</v>
      </c>
      <c r="AB16" s="50"/>
      <c r="AC16" s="22" t="s">
        <v>470</v>
      </c>
      <c r="AD16" s="12" t="s">
        <v>480</v>
      </c>
    </row>
    <row r="17" spans="1:31">
      <c r="A17" s="28">
        <v>8</v>
      </c>
      <c r="B17" s="28"/>
      <c r="C17" s="28"/>
      <c r="D17" s="28" t="s">
        <v>248</v>
      </c>
      <c r="E17" s="28">
        <v>22524</v>
      </c>
      <c r="F17" s="29" t="s">
        <v>30</v>
      </c>
      <c r="G17" s="29" t="s">
        <v>30</v>
      </c>
      <c r="H17" s="30"/>
      <c r="I17" s="31"/>
      <c r="J17" s="28" t="s">
        <v>28</v>
      </c>
      <c r="K17" s="2" t="s">
        <v>269</v>
      </c>
      <c r="L17" s="33"/>
      <c r="M17" s="9">
        <v>18.185578</v>
      </c>
      <c r="N17" s="9">
        <v>-97.475682000000006</v>
      </c>
      <c r="O17" s="22">
        <v>1968</v>
      </c>
      <c r="P17" s="4" t="s">
        <v>25</v>
      </c>
      <c r="Q17" s="22"/>
      <c r="R17" s="22"/>
      <c r="S17" s="22"/>
      <c r="T17" s="28"/>
      <c r="U17" s="28"/>
      <c r="V17" s="28" t="s">
        <v>0</v>
      </c>
      <c r="W17" s="28" t="s">
        <v>472</v>
      </c>
      <c r="X17" s="28" t="s">
        <v>495</v>
      </c>
      <c r="Y17" s="28">
        <v>99</v>
      </c>
      <c r="Z17" s="28"/>
      <c r="AA17" s="35"/>
      <c r="AB17" s="28"/>
      <c r="AC17" s="28" t="s">
        <v>471</v>
      </c>
      <c r="AD17" s="4" t="s">
        <v>480</v>
      </c>
    </row>
    <row r="18" spans="1:31">
      <c r="A18" s="4">
        <v>9</v>
      </c>
      <c r="B18" s="4" t="s">
        <v>463</v>
      </c>
      <c r="D18" s="22" t="s">
        <v>20</v>
      </c>
      <c r="E18" s="22">
        <v>894</v>
      </c>
      <c r="F18" s="1" t="s">
        <v>37</v>
      </c>
      <c r="G18" s="1"/>
      <c r="H18" s="21" t="s">
        <v>463</v>
      </c>
      <c r="J18" s="4" t="s">
        <v>34</v>
      </c>
      <c r="K18" s="6" t="s">
        <v>35</v>
      </c>
      <c r="L18" s="8" t="s">
        <v>36</v>
      </c>
      <c r="M18" s="7">
        <v>16.030138888888889</v>
      </c>
      <c r="N18" s="7">
        <v>-92.092999999999989</v>
      </c>
      <c r="O18" s="4">
        <v>720</v>
      </c>
      <c r="P18" s="4" t="s">
        <v>25</v>
      </c>
      <c r="R18" s="4" t="s">
        <v>278</v>
      </c>
      <c r="S18" s="4" t="s">
        <v>279</v>
      </c>
      <c r="T18" s="22">
        <v>1</v>
      </c>
      <c r="U18" s="22" t="s">
        <v>326</v>
      </c>
      <c r="V18" s="22" t="s">
        <v>473</v>
      </c>
      <c r="W18" s="22" t="s">
        <v>473</v>
      </c>
      <c r="X18" s="22">
        <v>9</v>
      </c>
      <c r="Y18" s="4">
        <v>100</v>
      </c>
      <c r="Z18" s="26">
        <v>50.6</v>
      </c>
      <c r="AA18" s="24">
        <f t="shared" ref="AA18:AA28" si="0">500/Z18</f>
        <v>9.8814229249011856</v>
      </c>
      <c r="AB18" s="22"/>
      <c r="AC18" s="22" t="s">
        <v>470</v>
      </c>
      <c r="AD18" s="12" t="s">
        <v>480</v>
      </c>
    </row>
    <row r="19" spans="1:31" s="27" customFormat="1">
      <c r="A19" s="27">
        <v>9</v>
      </c>
      <c r="B19" s="27" t="s">
        <v>463</v>
      </c>
      <c r="D19" s="27" t="s">
        <v>20</v>
      </c>
      <c r="E19" s="27">
        <v>1647</v>
      </c>
      <c r="F19" s="87" t="s">
        <v>37</v>
      </c>
      <c r="G19" s="87"/>
      <c r="H19" s="88"/>
      <c r="I19" s="89"/>
      <c r="J19" s="27" t="s">
        <v>34</v>
      </c>
      <c r="K19" s="90" t="s">
        <v>35</v>
      </c>
      <c r="L19" s="91" t="s">
        <v>258</v>
      </c>
      <c r="M19" s="92">
        <v>16.030916666666666</v>
      </c>
      <c r="N19" s="92">
        <v>-92.089583333333323</v>
      </c>
      <c r="O19" s="27">
        <v>776</v>
      </c>
      <c r="P19" s="27" t="s">
        <v>25</v>
      </c>
      <c r="T19" s="27">
        <v>2</v>
      </c>
      <c r="U19" s="27" t="s">
        <v>385</v>
      </c>
      <c r="V19" s="27" t="s">
        <v>473</v>
      </c>
      <c r="W19" s="27" t="s">
        <v>472</v>
      </c>
      <c r="X19" s="27" t="s">
        <v>541</v>
      </c>
      <c r="Y19" s="27">
        <v>116</v>
      </c>
      <c r="Z19" s="27">
        <v>42.2</v>
      </c>
      <c r="AA19" s="93">
        <f t="shared" si="0"/>
        <v>11.848341232227487</v>
      </c>
      <c r="AC19" s="27" t="s">
        <v>469</v>
      </c>
      <c r="AD19" s="27" t="s">
        <v>480</v>
      </c>
    </row>
    <row r="20" spans="1:31">
      <c r="A20" s="22">
        <v>10</v>
      </c>
      <c r="B20" s="22" t="s">
        <v>463</v>
      </c>
      <c r="C20" s="22"/>
      <c r="D20" s="4" t="s">
        <v>133</v>
      </c>
      <c r="E20" s="4">
        <v>160</v>
      </c>
      <c r="F20" s="1" t="s">
        <v>37</v>
      </c>
      <c r="J20" s="4" t="s">
        <v>34</v>
      </c>
      <c r="K20" s="6" t="s">
        <v>255</v>
      </c>
      <c r="L20" s="8" t="s">
        <v>256</v>
      </c>
      <c r="M20" s="7">
        <v>16.197833333333335</v>
      </c>
      <c r="N20" s="7">
        <v>-92.61677777777777</v>
      </c>
      <c r="O20" s="4">
        <v>608</v>
      </c>
      <c r="P20" s="4" t="s">
        <v>25</v>
      </c>
      <c r="R20" s="22"/>
      <c r="S20" s="22"/>
      <c r="T20" s="22">
        <v>1</v>
      </c>
      <c r="U20" s="22" t="s">
        <v>51</v>
      </c>
      <c r="V20" s="4" t="s">
        <v>473</v>
      </c>
      <c r="W20" s="4" t="s">
        <v>458</v>
      </c>
      <c r="X20" s="4" t="s">
        <v>489</v>
      </c>
      <c r="Y20" s="4">
        <v>98</v>
      </c>
      <c r="Z20" s="26">
        <v>114</v>
      </c>
      <c r="AA20" s="25">
        <f t="shared" si="0"/>
        <v>4.3859649122807021</v>
      </c>
      <c r="AC20" s="22" t="s">
        <v>470</v>
      </c>
      <c r="AD20" s="47" t="s">
        <v>480</v>
      </c>
    </row>
    <row r="21" spans="1:31" s="22" customFormat="1" ht="15" customHeight="1">
      <c r="A21" s="28">
        <v>10</v>
      </c>
      <c r="B21" s="28"/>
      <c r="C21" s="28"/>
      <c r="D21" s="28" t="s">
        <v>20</v>
      </c>
      <c r="E21" s="28" t="s">
        <v>280</v>
      </c>
      <c r="F21" s="29" t="s">
        <v>37</v>
      </c>
      <c r="G21" s="29"/>
      <c r="H21" s="30"/>
      <c r="I21" s="31"/>
      <c r="J21" s="28" t="s">
        <v>34</v>
      </c>
      <c r="K21" s="32" t="s">
        <v>255</v>
      </c>
      <c r="L21" s="33" t="s">
        <v>256</v>
      </c>
      <c r="M21" s="34">
        <v>16.197833333333335</v>
      </c>
      <c r="N21" s="34">
        <v>-92.61677777777777</v>
      </c>
      <c r="O21" s="28">
        <v>608</v>
      </c>
      <c r="P21" s="28" t="s">
        <v>25</v>
      </c>
      <c r="Q21" s="28"/>
      <c r="R21" s="28" t="s">
        <v>278</v>
      </c>
      <c r="S21" s="28" t="s">
        <v>149</v>
      </c>
      <c r="T21" s="28"/>
      <c r="U21" s="28"/>
      <c r="V21" s="28" t="s">
        <v>0</v>
      </c>
      <c r="W21" s="28" t="s">
        <v>458</v>
      </c>
      <c r="X21" s="28">
        <v>10</v>
      </c>
      <c r="Y21" s="28">
        <v>50</v>
      </c>
      <c r="Z21" s="28">
        <v>29.4</v>
      </c>
      <c r="AA21" s="35">
        <f t="shared" si="0"/>
        <v>17.006802721088437</v>
      </c>
      <c r="AB21" s="28"/>
      <c r="AC21" s="28" t="s">
        <v>471</v>
      </c>
      <c r="AD21" s="2" t="s">
        <v>480</v>
      </c>
      <c r="AE21" s="4"/>
    </row>
    <row r="22" spans="1:31" s="22" customFormat="1">
      <c r="A22" s="4">
        <v>11</v>
      </c>
      <c r="B22" s="4" t="s">
        <v>463</v>
      </c>
      <c r="C22" s="4"/>
      <c r="D22" s="4" t="s">
        <v>20</v>
      </c>
      <c r="E22" s="4">
        <v>861</v>
      </c>
      <c r="F22" s="1" t="s">
        <v>39</v>
      </c>
      <c r="G22" s="5"/>
      <c r="H22" s="18"/>
      <c r="I22" s="17"/>
      <c r="J22" s="4" t="s">
        <v>22</v>
      </c>
      <c r="K22" s="6" t="s">
        <v>40</v>
      </c>
      <c r="L22" s="8" t="s">
        <v>42</v>
      </c>
      <c r="M22" s="7">
        <v>16.287861111111113</v>
      </c>
      <c r="N22" s="7">
        <v>-97.129277777777773</v>
      </c>
      <c r="O22" s="4">
        <v>1510</v>
      </c>
      <c r="P22" s="4" t="s">
        <v>13</v>
      </c>
      <c r="Q22" s="4" t="s">
        <v>14</v>
      </c>
      <c r="T22" s="22">
        <v>1</v>
      </c>
      <c r="U22" s="22" t="s">
        <v>323</v>
      </c>
      <c r="V22" s="4" t="s">
        <v>473</v>
      </c>
      <c r="W22" s="4" t="s">
        <v>0</v>
      </c>
      <c r="X22" s="4" t="s">
        <v>489</v>
      </c>
      <c r="Y22" s="4">
        <v>45</v>
      </c>
      <c r="Z22" s="26">
        <v>79</v>
      </c>
      <c r="AA22" s="25">
        <f t="shared" si="0"/>
        <v>6.3291139240506329</v>
      </c>
      <c r="AB22" s="4"/>
      <c r="AC22" s="22" t="s">
        <v>469</v>
      </c>
      <c r="AD22" s="47" t="s">
        <v>480</v>
      </c>
      <c r="AE22" s="4"/>
    </row>
    <row r="23" spans="1:31">
      <c r="A23" s="28">
        <v>11</v>
      </c>
      <c r="B23" s="28"/>
      <c r="C23" s="28"/>
      <c r="D23" s="28" t="s">
        <v>20</v>
      </c>
      <c r="E23" s="28">
        <v>861</v>
      </c>
      <c r="F23" s="29" t="s">
        <v>39</v>
      </c>
      <c r="G23" s="29"/>
      <c r="H23" s="30"/>
      <c r="I23" s="31"/>
      <c r="J23" s="28" t="s">
        <v>22</v>
      </c>
      <c r="K23" s="6" t="s">
        <v>40</v>
      </c>
      <c r="L23" s="33" t="s">
        <v>42</v>
      </c>
      <c r="M23" s="7">
        <v>16.287861111111113</v>
      </c>
      <c r="N23" s="7">
        <v>-97.129277777777773</v>
      </c>
      <c r="O23" s="4">
        <v>1510</v>
      </c>
      <c r="P23" s="4" t="s">
        <v>13</v>
      </c>
      <c r="Q23" s="4" t="s">
        <v>14</v>
      </c>
      <c r="R23" s="22" t="s">
        <v>328</v>
      </c>
      <c r="S23" s="22" t="s">
        <v>332</v>
      </c>
      <c r="T23" s="28"/>
      <c r="U23" s="28"/>
      <c r="V23" s="28" t="s">
        <v>0</v>
      </c>
      <c r="W23" s="28" t="s">
        <v>0</v>
      </c>
      <c r="X23" s="28">
        <v>11</v>
      </c>
      <c r="Y23" s="28">
        <v>19</v>
      </c>
      <c r="Z23" s="28">
        <v>21</v>
      </c>
      <c r="AA23" s="35">
        <f t="shared" si="0"/>
        <v>23.80952380952381</v>
      </c>
      <c r="AB23" s="28"/>
      <c r="AC23" s="28" t="s">
        <v>471</v>
      </c>
      <c r="AD23" s="2" t="s">
        <v>480</v>
      </c>
    </row>
    <row r="24" spans="1:31">
      <c r="A24" s="4">
        <v>12</v>
      </c>
      <c r="B24" s="4" t="s">
        <v>463</v>
      </c>
      <c r="D24" s="4" t="s">
        <v>10</v>
      </c>
      <c r="E24" s="4">
        <v>1013</v>
      </c>
      <c r="F24" s="5" t="s">
        <v>39</v>
      </c>
      <c r="J24" s="4" t="s">
        <v>34</v>
      </c>
      <c r="K24" s="6" t="s">
        <v>287</v>
      </c>
      <c r="L24" s="8" t="s">
        <v>286</v>
      </c>
      <c r="M24" s="7">
        <v>16.759527777777777</v>
      </c>
      <c r="N24" s="7">
        <v>-93.445861111111114</v>
      </c>
      <c r="O24" s="4">
        <v>755</v>
      </c>
      <c r="P24" s="4" t="s">
        <v>25</v>
      </c>
      <c r="R24" s="12"/>
      <c r="S24" s="12"/>
      <c r="T24" s="22">
        <v>1</v>
      </c>
      <c r="U24" s="22" t="s">
        <v>222</v>
      </c>
      <c r="V24" s="4" t="s">
        <v>473</v>
      </c>
      <c r="W24" s="4" t="s">
        <v>458</v>
      </c>
      <c r="X24" s="4" t="s">
        <v>489</v>
      </c>
      <c r="Y24" s="4">
        <v>98</v>
      </c>
      <c r="Z24" s="26">
        <v>44</v>
      </c>
      <c r="AA24" s="25">
        <f t="shared" si="0"/>
        <v>11.363636363636363</v>
      </c>
      <c r="AC24" s="22" t="s">
        <v>470</v>
      </c>
      <c r="AD24" s="47" t="s">
        <v>480</v>
      </c>
    </row>
    <row r="25" spans="1:31">
      <c r="A25" s="4">
        <v>12</v>
      </c>
      <c r="B25" s="4" t="s">
        <v>463</v>
      </c>
      <c r="D25" s="22" t="s">
        <v>10</v>
      </c>
      <c r="E25" s="22">
        <v>1014</v>
      </c>
      <c r="F25" s="1" t="s">
        <v>39</v>
      </c>
      <c r="G25" s="1"/>
      <c r="H25" s="19"/>
      <c r="J25" s="4" t="s">
        <v>34</v>
      </c>
      <c r="K25" s="6" t="s">
        <v>287</v>
      </c>
      <c r="L25" s="8" t="s">
        <v>286</v>
      </c>
      <c r="M25" s="7">
        <v>16.759527777777777</v>
      </c>
      <c r="N25" s="7">
        <v>-93.445861111111114</v>
      </c>
      <c r="O25" s="4">
        <v>755</v>
      </c>
      <c r="P25" s="4" t="s">
        <v>15</v>
      </c>
      <c r="Q25" s="4" t="s">
        <v>14</v>
      </c>
      <c r="R25" s="4" t="s">
        <v>278</v>
      </c>
      <c r="S25" s="4" t="s">
        <v>311</v>
      </c>
      <c r="T25" s="22">
        <v>2</v>
      </c>
      <c r="U25" s="22" t="s">
        <v>381</v>
      </c>
      <c r="V25" s="22" t="s">
        <v>458</v>
      </c>
      <c r="W25" s="22" t="s">
        <v>473</v>
      </c>
      <c r="X25" s="22">
        <v>12</v>
      </c>
      <c r="Y25" s="4">
        <v>100</v>
      </c>
      <c r="Z25" s="26">
        <v>22</v>
      </c>
      <c r="AA25" s="24">
        <f t="shared" si="0"/>
        <v>22.727272727272727</v>
      </c>
      <c r="AB25" s="22"/>
      <c r="AC25" s="22" t="s">
        <v>470</v>
      </c>
      <c r="AD25" s="12" t="s">
        <v>480</v>
      </c>
    </row>
    <row r="26" spans="1:31" s="27" customFormat="1">
      <c r="A26" s="27">
        <v>13</v>
      </c>
      <c r="B26" s="27" t="s">
        <v>463</v>
      </c>
      <c r="D26" s="27" t="s">
        <v>261</v>
      </c>
      <c r="E26" s="27">
        <v>314</v>
      </c>
      <c r="F26" s="87" t="s">
        <v>39</v>
      </c>
      <c r="G26" s="87"/>
      <c r="H26" s="88"/>
      <c r="I26" s="89"/>
      <c r="J26" s="27" t="s">
        <v>22</v>
      </c>
      <c r="K26" s="90" t="s">
        <v>288</v>
      </c>
      <c r="L26" s="91" t="s">
        <v>262</v>
      </c>
      <c r="M26" s="92">
        <v>16.551833333333335</v>
      </c>
      <c r="N26" s="92">
        <v>-97.119944444444442</v>
      </c>
      <c r="O26" s="27">
        <v>1601</v>
      </c>
      <c r="P26" s="27" t="s">
        <v>25</v>
      </c>
      <c r="T26" s="27">
        <v>2</v>
      </c>
      <c r="U26" s="27" t="s">
        <v>367</v>
      </c>
      <c r="V26" s="95" t="s">
        <v>458</v>
      </c>
      <c r="W26" s="95" t="s">
        <v>472</v>
      </c>
      <c r="X26" s="95" t="s">
        <v>495</v>
      </c>
      <c r="Y26" s="95">
        <v>25</v>
      </c>
      <c r="Z26" s="95">
        <v>30.2</v>
      </c>
      <c r="AA26" s="96">
        <f t="shared" si="0"/>
        <v>16.556291390728479</v>
      </c>
      <c r="AB26" s="95"/>
      <c r="AC26" s="95" t="s">
        <v>469</v>
      </c>
      <c r="AD26" s="97" t="s">
        <v>480</v>
      </c>
    </row>
    <row r="27" spans="1:31" ht="15" customHeight="1">
      <c r="A27" s="22">
        <v>13</v>
      </c>
      <c r="B27" s="22" t="s">
        <v>463</v>
      </c>
      <c r="C27" s="22"/>
      <c r="D27" s="22" t="s">
        <v>20</v>
      </c>
      <c r="E27" s="22">
        <v>1104</v>
      </c>
      <c r="F27" s="1" t="s">
        <v>39</v>
      </c>
      <c r="G27" s="1"/>
      <c r="H27" s="19"/>
      <c r="I27" s="16"/>
      <c r="J27" s="22" t="s">
        <v>22</v>
      </c>
      <c r="K27" s="2" t="s">
        <v>259</v>
      </c>
      <c r="L27" s="3" t="s">
        <v>260</v>
      </c>
      <c r="M27" s="9">
        <v>16.520361111111111</v>
      </c>
      <c r="N27" s="9">
        <v>-96.986611111111117</v>
      </c>
      <c r="O27" s="22">
        <v>1450</v>
      </c>
      <c r="P27" s="22" t="s">
        <v>25</v>
      </c>
      <c r="Q27" s="22"/>
      <c r="R27" s="22" t="s">
        <v>328</v>
      </c>
      <c r="S27" s="22" t="s">
        <v>333</v>
      </c>
      <c r="T27" s="22">
        <v>1</v>
      </c>
      <c r="U27" s="11" t="s">
        <v>55</v>
      </c>
      <c r="V27" s="22" t="s">
        <v>473</v>
      </c>
      <c r="W27" s="22" t="s">
        <v>0</v>
      </c>
      <c r="X27" s="22">
        <v>13</v>
      </c>
      <c r="Y27" s="22">
        <v>250</v>
      </c>
      <c r="Z27" s="26">
        <v>106</v>
      </c>
      <c r="AA27" s="24">
        <f t="shared" si="0"/>
        <v>4.716981132075472</v>
      </c>
      <c r="AB27" s="22"/>
      <c r="AC27" s="22" t="s">
        <v>469</v>
      </c>
      <c r="AD27" s="12" t="s">
        <v>480</v>
      </c>
      <c r="AE27" s="22"/>
    </row>
    <row r="28" spans="1:31">
      <c r="A28" s="4">
        <v>14</v>
      </c>
      <c r="B28" s="4" t="s">
        <v>463</v>
      </c>
      <c r="D28" s="22" t="s">
        <v>10</v>
      </c>
      <c r="E28" s="22">
        <v>2700</v>
      </c>
      <c r="F28" s="1" t="s">
        <v>44</v>
      </c>
      <c r="G28" s="1"/>
      <c r="H28" s="19"/>
      <c r="J28" s="4" t="s">
        <v>22</v>
      </c>
      <c r="K28" s="6" t="s">
        <v>32</v>
      </c>
      <c r="L28" s="8" t="s">
        <v>33</v>
      </c>
      <c r="M28" s="7">
        <v>16.582083333333301</v>
      </c>
      <c r="N28" s="7">
        <v>-96.783694444444436</v>
      </c>
      <c r="O28" s="4">
        <v>1490</v>
      </c>
      <c r="P28" s="4" t="s">
        <v>15</v>
      </c>
      <c r="Q28" s="4" t="s">
        <v>45</v>
      </c>
      <c r="R28" s="4" t="s">
        <v>19</v>
      </c>
      <c r="S28" s="4">
        <v>8.6999999999999993</v>
      </c>
      <c r="T28" s="22">
        <v>1</v>
      </c>
      <c r="U28" s="22" t="s">
        <v>254</v>
      </c>
      <c r="V28" s="4" t="s">
        <v>472</v>
      </c>
      <c r="W28" s="4" t="s">
        <v>472</v>
      </c>
      <c r="X28" s="22">
        <v>14</v>
      </c>
      <c r="Y28" s="4">
        <v>20</v>
      </c>
      <c r="Z28" s="26">
        <v>71.599999999999994</v>
      </c>
      <c r="AA28" s="24">
        <f t="shared" si="0"/>
        <v>6.9832402234636879</v>
      </c>
      <c r="AC28" s="22" t="s">
        <v>469</v>
      </c>
      <c r="AD28" s="12" t="s">
        <v>480</v>
      </c>
    </row>
    <row r="29" spans="1:31">
      <c r="A29" s="4">
        <v>14</v>
      </c>
      <c r="D29" s="4" t="s">
        <v>10</v>
      </c>
      <c r="E29" s="4">
        <v>2700</v>
      </c>
      <c r="F29" s="5" t="s">
        <v>44</v>
      </c>
      <c r="J29" s="4" t="s">
        <v>22</v>
      </c>
      <c r="K29" s="6" t="s">
        <v>32</v>
      </c>
      <c r="L29" s="8" t="s">
        <v>33</v>
      </c>
      <c r="M29" s="7">
        <v>16.582083333333301</v>
      </c>
      <c r="N29" s="7">
        <v>-96.783694444444436</v>
      </c>
      <c r="O29" s="4">
        <v>1490</v>
      </c>
      <c r="P29" s="4" t="s">
        <v>15</v>
      </c>
      <c r="Q29" s="4" t="s">
        <v>45</v>
      </c>
      <c r="R29" s="22"/>
      <c r="S29" s="22"/>
      <c r="T29" s="22">
        <v>3</v>
      </c>
      <c r="U29" s="22" t="s">
        <v>275</v>
      </c>
      <c r="AC29" s="4" t="s">
        <v>491</v>
      </c>
      <c r="AD29" s="4" t="s">
        <v>481</v>
      </c>
    </row>
    <row r="30" spans="1:31">
      <c r="A30" s="28">
        <v>15</v>
      </c>
      <c r="B30" s="28"/>
      <c r="C30" s="28"/>
      <c r="D30" s="28" t="s">
        <v>54</v>
      </c>
      <c r="E30" s="28">
        <v>309</v>
      </c>
      <c r="F30" s="29" t="s">
        <v>44</v>
      </c>
      <c r="G30" s="29"/>
      <c r="H30" s="30"/>
      <c r="I30" s="31"/>
      <c r="J30" s="28" t="s">
        <v>22</v>
      </c>
      <c r="K30" s="32" t="s">
        <v>48</v>
      </c>
      <c r="L30" s="33" t="s">
        <v>274</v>
      </c>
      <c r="M30" s="34">
        <v>16.251805555555556</v>
      </c>
      <c r="N30" s="34">
        <v>-96.553555555555548</v>
      </c>
      <c r="O30" s="28">
        <v>1889</v>
      </c>
      <c r="P30" s="28" t="s">
        <v>15</v>
      </c>
      <c r="Q30" s="28" t="s">
        <v>14</v>
      </c>
      <c r="R30" s="28" t="s">
        <v>19</v>
      </c>
      <c r="S30" s="28">
        <v>8.1199999999999992</v>
      </c>
      <c r="T30" s="28"/>
      <c r="U30" s="28"/>
      <c r="V30" s="28" t="s">
        <v>472</v>
      </c>
      <c r="W30" s="28" t="s">
        <v>473</v>
      </c>
      <c r="X30" s="28">
        <v>15</v>
      </c>
      <c r="Y30" s="28">
        <v>150</v>
      </c>
      <c r="Z30" s="28">
        <v>68</v>
      </c>
      <c r="AA30" s="35">
        <f>500/Z30</f>
        <v>7.3529411764705879</v>
      </c>
      <c r="AB30" s="28"/>
      <c r="AC30" s="28" t="s">
        <v>471</v>
      </c>
      <c r="AD30" s="2" t="s">
        <v>480</v>
      </c>
    </row>
    <row r="31" spans="1:31">
      <c r="A31" s="4">
        <v>15</v>
      </c>
      <c r="B31" s="4" t="s">
        <v>463</v>
      </c>
      <c r="D31" s="4" t="s">
        <v>20</v>
      </c>
      <c r="E31" s="4">
        <v>1751</v>
      </c>
      <c r="F31" s="5" t="s">
        <v>44</v>
      </c>
      <c r="J31" s="4" t="s">
        <v>22</v>
      </c>
      <c r="K31" s="6" t="s">
        <v>48</v>
      </c>
      <c r="L31" s="8" t="s">
        <v>47</v>
      </c>
      <c r="M31" s="7">
        <v>16.251666666666665</v>
      </c>
      <c r="N31" s="7">
        <v>-96.553444444444438</v>
      </c>
      <c r="O31" s="4">
        <v>1944</v>
      </c>
      <c r="P31" s="4" t="s">
        <v>13</v>
      </c>
      <c r="Q31" s="4" t="s">
        <v>45</v>
      </c>
      <c r="R31" s="22"/>
      <c r="S31" s="22"/>
      <c r="T31" s="22">
        <v>2</v>
      </c>
      <c r="U31" s="22" t="s">
        <v>309</v>
      </c>
      <c r="V31" s="4" t="s">
        <v>473</v>
      </c>
      <c r="W31" s="4" t="s">
        <v>0</v>
      </c>
      <c r="X31" s="4" t="s">
        <v>489</v>
      </c>
      <c r="Y31" s="4" t="s">
        <v>494</v>
      </c>
      <c r="Z31" s="26">
        <v>34.4</v>
      </c>
      <c r="AA31" s="25">
        <f>500/Z31</f>
        <v>14.534883720930234</v>
      </c>
      <c r="AC31" s="22" t="s">
        <v>469</v>
      </c>
      <c r="AD31" s="47" t="s">
        <v>480</v>
      </c>
    </row>
    <row r="32" spans="1:31">
      <c r="A32" s="28">
        <v>16</v>
      </c>
      <c r="B32" s="28"/>
      <c r="C32" s="28"/>
      <c r="D32" s="28" t="s">
        <v>248</v>
      </c>
      <c r="E32" s="28">
        <v>21504</v>
      </c>
      <c r="F32" s="29" t="s">
        <v>44</v>
      </c>
      <c r="G32" s="29"/>
      <c r="H32" s="30"/>
      <c r="I32" s="31"/>
      <c r="J32" s="28" t="s">
        <v>22</v>
      </c>
      <c r="K32" s="32" t="s">
        <v>276</v>
      </c>
      <c r="L32" s="33" t="s">
        <v>277</v>
      </c>
      <c r="M32" s="34">
        <v>16.925350000000002</v>
      </c>
      <c r="N32" s="34">
        <v>-96.360366999999997</v>
      </c>
      <c r="O32" s="28">
        <v>1696</v>
      </c>
      <c r="P32" s="28" t="s">
        <v>25</v>
      </c>
      <c r="Q32" s="28"/>
      <c r="R32" s="28" t="s">
        <v>313</v>
      </c>
      <c r="S32" s="28" t="s">
        <v>314</v>
      </c>
      <c r="T32" s="28"/>
      <c r="U32" s="28"/>
      <c r="V32" s="28" t="s">
        <v>0</v>
      </c>
      <c r="W32" s="28" t="s">
        <v>0</v>
      </c>
      <c r="X32" s="28">
        <v>16</v>
      </c>
      <c r="Y32" s="28">
        <v>250</v>
      </c>
      <c r="Z32" s="28">
        <v>0.11799999999999999</v>
      </c>
      <c r="AA32" s="35">
        <f>500/Z32</f>
        <v>4237.2881355932204</v>
      </c>
      <c r="AB32" s="28"/>
      <c r="AC32" s="28" t="s">
        <v>471</v>
      </c>
      <c r="AD32" s="2" t="s">
        <v>480</v>
      </c>
    </row>
    <row r="33" spans="1:31" s="27" customFormat="1">
      <c r="A33" s="27">
        <v>17</v>
      </c>
      <c r="B33" s="27" t="s">
        <v>463</v>
      </c>
      <c r="D33" s="27" t="s">
        <v>10</v>
      </c>
      <c r="E33" s="27">
        <v>3801</v>
      </c>
      <c r="F33" s="87" t="s">
        <v>30</v>
      </c>
      <c r="G33" s="87" t="s">
        <v>52</v>
      </c>
      <c r="H33" s="88"/>
      <c r="I33" s="89"/>
      <c r="J33" s="27" t="s">
        <v>28</v>
      </c>
      <c r="K33" s="90" t="s">
        <v>53</v>
      </c>
      <c r="L33" s="91" t="s">
        <v>74</v>
      </c>
      <c r="M33" s="92">
        <v>18.266400000000001</v>
      </c>
      <c r="N33" s="92">
        <v>-98.108159999999998</v>
      </c>
      <c r="O33" s="27">
        <v>1446</v>
      </c>
      <c r="P33" s="27" t="s">
        <v>13</v>
      </c>
      <c r="Q33" s="27" t="s">
        <v>14</v>
      </c>
      <c r="R33" s="27" t="s">
        <v>328</v>
      </c>
      <c r="S33" s="27" t="s">
        <v>448</v>
      </c>
      <c r="T33" s="27">
        <v>2</v>
      </c>
      <c r="U33" s="27" t="s">
        <v>254</v>
      </c>
      <c r="V33" s="27" t="s">
        <v>473</v>
      </c>
      <c r="W33" s="27" t="s">
        <v>472</v>
      </c>
      <c r="X33" s="27">
        <v>17</v>
      </c>
      <c r="Y33" s="27">
        <v>250</v>
      </c>
      <c r="Z33" s="27">
        <v>25.4</v>
      </c>
      <c r="AA33" s="93">
        <f>500/Z33</f>
        <v>19.685039370078741</v>
      </c>
      <c r="AC33" s="27" t="s">
        <v>469</v>
      </c>
      <c r="AD33" s="94" t="s">
        <v>480</v>
      </c>
    </row>
    <row r="34" spans="1:31" s="43" customFormat="1">
      <c r="A34" s="43">
        <v>17</v>
      </c>
      <c r="D34" s="43" t="s">
        <v>54</v>
      </c>
      <c r="E34" s="43">
        <v>329</v>
      </c>
      <c r="F34" s="72" t="s">
        <v>30</v>
      </c>
      <c r="G34" s="72" t="s">
        <v>52</v>
      </c>
      <c r="H34" s="73"/>
      <c r="I34" s="74"/>
      <c r="J34" s="43" t="s">
        <v>28</v>
      </c>
      <c r="K34" s="36" t="s">
        <v>53</v>
      </c>
      <c r="L34" s="75" t="s">
        <v>56</v>
      </c>
      <c r="M34" s="76">
        <v>18.183833333333332</v>
      </c>
      <c r="N34" s="76">
        <v>-98.041638888888883</v>
      </c>
      <c r="O34" s="43">
        <v>1189</v>
      </c>
      <c r="P34" s="43" t="s">
        <v>13</v>
      </c>
      <c r="Q34" s="43" t="s">
        <v>14</v>
      </c>
      <c r="S34" s="78"/>
      <c r="T34" s="43">
        <v>3</v>
      </c>
      <c r="U34" s="78" t="s">
        <v>127</v>
      </c>
      <c r="AA34" s="77"/>
      <c r="AD34" s="43" t="s">
        <v>481</v>
      </c>
    </row>
    <row r="35" spans="1:31">
      <c r="A35" s="22">
        <v>18</v>
      </c>
      <c r="B35" s="22" t="s">
        <v>463</v>
      </c>
      <c r="C35" s="22"/>
      <c r="D35" s="4" t="s">
        <v>10</v>
      </c>
      <c r="E35" s="4">
        <v>2155</v>
      </c>
      <c r="F35" s="1" t="s">
        <v>30</v>
      </c>
      <c r="G35" s="5" t="s">
        <v>52</v>
      </c>
      <c r="J35" s="4" t="s">
        <v>28</v>
      </c>
      <c r="K35" s="6" t="s">
        <v>281</v>
      </c>
      <c r="L35" s="8" t="s">
        <v>282</v>
      </c>
      <c r="M35" s="7">
        <v>18.86802777777778</v>
      </c>
      <c r="N35" s="7">
        <v>-97.945972222222224</v>
      </c>
      <c r="O35" s="4">
        <v>1948</v>
      </c>
      <c r="R35" s="22"/>
      <c r="S35" s="11"/>
      <c r="T35" s="22">
        <v>1</v>
      </c>
      <c r="U35" s="22" t="s">
        <v>368</v>
      </c>
      <c r="V35" s="4" t="s">
        <v>473</v>
      </c>
      <c r="W35" s="4" t="s">
        <v>458</v>
      </c>
      <c r="X35" s="4" t="s">
        <v>489</v>
      </c>
      <c r="Y35" s="4">
        <v>98</v>
      </c>
      <c r="Z35" s="26">
        <v>80.400000000000006</v>
      </c>
      <c r="AA35" s="25">
        <f t="shared" ref="AA35:AA41" si="1">500/Z35</f>
        <v>6.2189054726368154</v>
      </c>
      <c r="AC35" s="22" t="s">
        <v>470</v>
      </c>
      <c r="AD35" s="47" t="s">
        <v>480</v>
      </c>
    </row>
    <row r="36" spans="1:31" s="22" customFormat="1">
      <c r="A36" s="28">
        <v>18</v>
      </c>
      <c r="B36" s="28"/>
      <c r="C36" s="28"/>
      <c r="D36" s="28" t="s">
        <v>10</v>
      </c>
      <c r="E36" s="28">
        <v>2155</v>
      </c>
      <c r="F36" s="29" t="s">
        <v>30</v>
      </c>
      <c r="G36" s="29" t="s">
        <v>52</v>
      </c>
      <c r="H36" s="30"/>
      <c r="I36" s="31"/>
      <c r="J36" s="28" t="s">
        <v>28</v>
      </c>
      <c r="K36" s="6" t="s">
        <v>281</v>
      </c>
      <c r="L36" s="33" t="s">
        <v>282</v>
      </c>
      <c r="M36" s="7">
        <v>18.86802777777778</v>
      </c>
      <c r="N36" s="7">
        <v>-97.945972222222224</v>
      </c>
      <c r="O36" s="4">
        <v>1948</v>
      </c>
      <c r="P36" s="4"/>
      <c r="Q36" s="4"/>
      <c r="R36" s="4" t="s">
        <v>307</v>
      </c>
      <c r="S36" s="10"/>
      <c r="T36" s="42"/>
      <c r="U36" s="42"/>
      <c r="V36" s="28" t="s">
        <v>472</v>
      </c>
      <c r="W36" s="28" t="s">
        <v>0</v>
      </c>
      <c r="X36" s="28">
        <v>18</v>
      </c>
      <c r="Y36" s="28">
        <v>19</v>
      </c>
      <c r="Z36" s="28">
        <v>18.600000000000001</v>
      </c>
      <c r="AA36" s="35">
        <f t="shared" si="1"/>
        <v>26.881720430107524</v>
      </c>
      <c r="AB36" s="28"/>
      <c r="AC36" s="28" t="s">
        <v>471</v>
      </c>
      <c r="AD36" s="2" t="s">
        <v>480</v>
      </c>
      <c r="AE36" s="4"/>
    </row>
    <row r="37" spans="1:31" ht="15" customHeight="1">
      <c r="A37" s="4">
        <v>19</v>
      </c>
      <c r="B37" s="4" t="s">
        <v>463</v>
      </c>
      <c r="D37" s="4" t="s">
        <v>80</v>
      </c>
      <c r="E37" s="4">
        <v>36</v>
      </c>
      <c r="F37" s="5" t="s">
        <v>30</v>
      </c>
      <c r="G37" s="5" t="s">
        <v>52</v>
      </c>
      <c r="J37" s="4" t="s">
        <v>57</v>
      </c>
      <c r="L37" s="8" t="s">
        <v>315</v>
      </c>
      <c r="M37" s="7" t="s">
        <v>25</v>
      </c>
      <c r="N37" s="7" t="s">
        <v>25</v>
      </c>
      <c r="O37" s="4" t="s">
        <v>25</v>
      </c>
      <c r="P37" s="4" t="s">
        <v>25</v>
      </c>
      <c r="R37" s="22"/>
      <c r="S37" s="11"/>
      <c r="T37" s="22">
        <v>1</v>
      </c>
      <c r="U37" s="22" t="s">
        <v>29</v>
      </c>
      <c r="V37" s="4" t="s">
        <v>458</v>
      </c>
      <c r="W37" s="4" t="s">
        <v>473</v>
      </c>
      <c r="X37" s="4" t="s">
        <v>489</v>
      </c>
      <c r="Y37" s="4">
        <v>98</v>
      </c>
      <c r="Z37" s="26">
        <v>54.6</v>
      </c>
      <c r="AA37" s="25">
        <f t="shared" si="1"/>
        <v>9.1575091575091569</v>
      </c>
      <c r="AC37" s="22" t="s">
        <v>490</v>
      </c>
      <c r="AD37" s="47" t="s">
        <v>480</v>
      </c>
    </row>
    <row r="38" spans="1:31">
      <c r="A38" s="28">
        <v>19</v>
      </c>
      <c r="B38" s="28"/>
      <c r="C38" s="28"/>
      <c r="D38" s="28" t="s">
        <v>20</v>
      </c>
      <c r="E38" s="28">
        <v>1495</v>
      </c>
      <c r="F38" s="29" t="s">
        <v>30</v>
      </c>
      <c r="G38" s="29" t="s">
        <v>52</v>
      </c>
      <c r="H38" s="30"/>
      <c r="I38" s="31"/>
      <c r="J38" s="28" t="s">
        <v>57</v>
      </c>
      <c r="K38" s="32" t="s">
        <v>58</v>
      </c>
      <c r="L38" s="33" t="s">
        <v>59</v>
      </c>
      <c r="M38" s="34">
        <v>17.923749999999998</v>
      </c>
      <c r="N38" s="34">
        <v>-99.616</v>
      </c>
      <c r="O38" s="28">
        <v>528</v>
      </c>
      <c r="P38" s="28" t="s">
        <v>15</v>
      </c>
      <c r="Q38" s="28" t="s">
        <v>14</v>
      </c>
      <c r="R38" s="28" t="s">
        <v>19</v>
      </c>
      <c r="S38" s="28">
        <v>15.6</v>
      </c>
      <c r="T38" s="28"/>
      <c r="U38" s="28"/>
      <c r="V38" s="28" t="s">
        <v>472</v>
      </c>
      <c r="W38" s="28" t="s">
        <v>0</v>
      </c>
      <c r="X38" s="28">
        <v>19</v>
      </c>
      <c r="Y38" s="28">
        <v>150</v>
      </c>
      <c r="Z38" s="28">
        <v>2.58</v>
      </c>
      <c r="AA38" s="35">
        <f t="shared" si="1"/>
        <v>193.79844961240309</v>
      </c>
      <c r="AB38" s="28"/>
      <c r="AC38" s="28" t="s">
        <v>471</v>
      </c>
      <c r="AD38" s="2" t="s">
        <v>480</v>
      </c>
    </row>
    <row r="39" spans="1:31">
      <c r="A39" s="4">
        <v>20</v>
      </c>
      <c r="B39" s="4" t="s">
        <v>463</v>
      </c>
      <c r="D39" s="22" t="s">
        <v>10</v>
      </c>
      <c r="E39" s="22">
        <v>2907</v>
      </c>
      <c r="F39" s="1" t="s">
        <v>30</v>
      </c>
      <c r="G39" s="1" t="s">
        <v>52</v>
      </c>
      <c r="H39" s="19" t="s">
        <v>463</v>
      </c>
      <c r="J39" s="4" t="s">
        <v>61</v>
      </c>
      <c r="K39" s="6" t="s">
        <v>62</v>
      </c>
      <c r="L39" s="8" t="s">
        <v>63</v>
      </c>
      <c r="M39" s="7">
        <v>18.673527777777799</v>
      </c>
      <c r="N39" s="7">
        <v>-99.332444444444434</v>
      </c>
      <c r="O39" s="4">
        <v>912</v>
      </c>
      <c r="P39" s="4" t="s">
        <v>15</v>
      </c>
      <c r="Q39" s="4" t="s">
        <v>14</v>
      </c>
      <c r="R39" s="4" t="s">
        <v>19</v>
      </c>
      <c r="S39" s="4">
        <v>15.8</v>
      </c>
      <c r="T39" s="22">
        <v>2</v>
      </c>
      <c r="U39" s="22" t="s">
        <v>219</v>
      </c>
      <c r="V39" s="22" t="s">
        <v>458</v>
      </c>
      <c r="W39" s="22" t="s">
        <v>458</v>
      </c>
      <c r="X39" s="22">
        <v>20</v>
      </c>
      <c r="Y39" s="4">
        <v>150</v>
      </c>
      <c r="Z39" s="26">
        <v>31.6</v>
      </c>
      <c r="AA39" s="24">
        <f t="shared" si="1"/>
        <v>15.822784810126581</v>
      </c>
      <c r="AB39" s="55"/>
      <c r="AC39" s="22" t="s">
        <v>470</v>
      </c>
      <c r="AD39" s="12" t="s">
        <v>480</v>
      </c>
    </row>
    <row r="40" spans="1:31" s="27" customFormat="1">
      <c r="A40" s="27">
        <v>20</v>
      </c>
      <c r="B40" s="27" t="s">
        <v>463</v>
      </c>
      <c r="D40" s="27" t="s">
        <v>10</v>
      </c>
      <c r="E40" s="27">
        <v>2908</v>
      </c>
      <c r="F40" s="87" t="s">
        <v>30</v>
      </c>
      <c r="G40" s="87" t="s">
        <v>52</v>
      </c>
      <c r="H40" s="88"/>
      <c r="I40" s="89"/>
      <c r="J40" s="27" t="s">
        <v>61</v>
      </c>
      <c r="K40" s="90" t="s">
        <v>62</v>
      </c>
      <c r="L40" s="91" t="s">
        <v>63</v>
      </c>
      <c r="M40" s="92">
        <v>18.673527777777799</v>
      </c>
      <c r="N40" s="92">
        <v>-99.332444444444434</v>
      </c>
      <c r="O40" s="27">
        <v>912</v>
      </c>
      <c r="P40" s="27" t="s">
        <v>15</v>
      </c>
      <c r="Q40" s="27" t="s">
        <v>14</v>
      </c>
      <c r="T40" s="27">
        <v>2</v>
      </c>
      <c r="U40" s="27" t="s">
        <v>370</v>
      </c>
      <c r="V40" s="27" t="s">
        <v>458</v>
      </c>
      <c r="W40" s="27" t="s">
        <v>472</v>
      </c>
      <c r="X40" s="27" t="s">
        <v>541</v>
      </c>
      <c r="Y40" s="27">
        <v>20</v>
      </c>
      <c r="Z40" s="27">
        <v>38.6</v>
      </c>
      <c r="AA40" s="93">
        <f t="shared" si="1"/>
        <v>12.953367875647668</v>
      </c>
      <c r="AC40" s="27" t="s">
        <v>469</v>
      </c>
      <c r="AD40" s="27" t="s">
        <v>480</v>
      </c>
    </row>
    <row r="41" spans="1:31">
      <c r="A41" s="4">
        <v>21</v>
      </c>
      <c r="B41" s="4" t="s">
        <v>463</v>
      </c>
      <c r="D41" s="22" t="s">
        <v>10</v>
      </c>
      <c r="E41" s="22">
        <v>2164</v>
      </c>
      <c r="F41" s="1" t="s">
        <v>67</v>
      </c>
      <c r="G41" s="1"/>
      <c r="H41" s="19" t="s">
        <v>463</v>
      </c>
      <c r="I41" s="17" t="s">
        <v>68</v>
      </c>
      <c r="J41" s="4" t="s">
        <v>22</v>
      </c>
      <c r="K41" s="6" t="s">
        <v>65</v>
      </c>
      <c r="L41" s="8" t="s">
        <v>66</v>
      </c>
      <c r="M41" s="7">
        <v>17.476222222222201</v>
      </c>
      <c r="N41" s="7">
        <v>-97.562888888888892</v>
      </c>
      <c r="O41" s="4">
        <v>2157</v>
      </c>
      <c r="P41" s="4" t="s">
        <v>13</v>
      </c>
      <c r="Q41" s="4" t="s">
        <v>14</v>
      </c>
      <c r="R41" s="4" t="s">
        <v>19</v>
      </c>
      <c r="S41" s="10">
        <v>8.1</v>
      </c>
      <c r="T41" s="22">
        <v>2</v>
      </c>
      <c r="U41" s="22" t="s">
        <v>115</v>
      </c>
      <c r="V41" s="22" t="s">
        <v>472</v>
      </c>
      <c r="W41" s="22" t="s">
        <v>458</v>
      </c>
      <c r="X41" s="22">
        <v>21</v>
      </c>
      <c r="Y41" s="4">
        <v>100</v>
      </c>
      <c r="Z41" s="26">
        <v>26</v>
      </c>
      <c r="AA41" s="24">
        <f t="shared" si="1"/>
        <v>19.23076923076923</v>
      </c>
      <c r="AC41" s="4" t="s">
        <v>470</v>
      </c>
      <c r="AD41" s="12" t="s">
        <v>480</v>
      </c>
    </row>
    <row r="42" spans="1:31" s="43" customFormat="1">
      <c r="A42" s="43">
        <v>21</v>
      </c>
      <c r="D42" s="43" t="s">
        <v>10</v>
      </c>
      <c r="E42" s="43">
        <v>2165</v>
      </c>
      <c r="F42" s="72" t="s">
        <v>67</v>
      </c>
      <c r="G42" s="72"/>
      <c r="H42" s="73"/>
      <c r="I42" s="74" t="s">
        <v>68</v>
      </c>
      <c r="J42" s="43" t="s">
        <v>22</v>
      </c>
      <c r="K42" s="36" t="s">
        <v>65</v>
      </c>
      <c r="L42" s="75" t="s">
        <v>66</v>
      </c>
      <c r="M42" s="76">
        <v>17.47625</v>
      </c>
      <c r="N42" s="76">
        <v>-97.562916666666666</v>
      </c>
      <c r="O42" s="43">
        <v>2157</v>
      </c>
      <c r="P42" s="43" t="s">
        <v>13</v>
      </c>
      <c r="Q42" s="43" t="s">
        <v>14</v>
      </c>
      <c r="T42" s="43">
        <v>3</v>
      </c>
      <c r="U42" s="43" t="s">
        <v>50</v>
      </c>
      <c r="AA42" s="77"/>
      <c r="AD42" s="43" t="s">
        <v>481</v>
      </c>
    </row>
    <row r="43" spans="1:31">
      <c r="A43" s="4">
        <v>22</v>
      </c>
      <c r="B43" s="4" t="s">
        <v>463</v>
      </c>
      <c r="D43" s="4" t="s">
        <v>10</v>
      </c>
      <c r="E43" s="4">
        <v>2629</v>
      </c>
      <c r="F43" s="5" t="s">
        <v>67</v>
      </c>
      <c r="I43" s="17" t="s">
        <v>68</v>
      </c>
      <c r="J43" s="4" t="s">
        <v>22</v>
      </c>
      <c r="K43" s="6" t="s">
        <v>69</v>
      </c>
      <c r="L43" s="8" t="s">
        <v>70</v>
      </c>
      <c r="M43" s="7">
        <v>17.6785</v>
      </c>
      <c r="N43" s="7">
        <v>-97.464611111111111</v>
      </c>
      <c r="O43" s="4">
        <v>2230</v>
      </c>
      <c r="P43" s="4" t="s">
        <v>13</v>
      </c>
      <c r="Q43" s="4" t="s">
        <v>14</v>
      </c>
      <c r="R43" s="22"/>
      <c r="S43" s="22"/>
      <c r="T43" s="22">
        <v>1</v>
      </c>
      <c r="U43" s="22" t="s">
        <v>238</v>
      </c>
      <c r="V43" s="37" t="s">
        <v>473</v>
      </c>
      <c r="W43" s="37" t="s">
        <v>472</v>
      </c>
      <c r="X43" s="37" t="s">
        <v>495</v>
      </c>
      <c r="Y43" s="37">
        <v>98</v>
      </c>
      <c r="Z43" s="45">
        <v>77.2</v>
      </c>
      <c r="AA43" s="24">
        <f>500/Z43</f>
        <v>6.4766839378238341</v>
      </c>
      <c r="AB43" s="37"/>
      <c r="AC43" s="44" t="s">
        <v>469</v>
      </c>
      <c r="AD43" s="47" t="s">
        <v>480</v>
      </c>
    </row>
    <row r="44" spans="1:31">
      <c r="A44" s="22">
        <v>22</v>
      </c>
      <c r="B44" s="22" t="s">
        <v>463</v>
      </c>
      <c r="C44" s="22"/>
      <c r="D44" s="4" t="s">
        <v>10</v>
      </c>
      <c r="E44" s="4">
        <v>2630</v>
      </c>
      <c r="F44" s="5" t="s">
        <v>67</v>
      </c>
      <c r="I44" s="17" t="s">
        <v>68</v>
      </c>
      <c r="J44" s="4" t="s">
        <v>22</v>
      </c>
      <c r="K44" s="6" t="s">
        <v>69</v>
      </c>
      <c r="L44" s="8" t="s">
        <v>70</v>
      </c>
      <c r="M44" s="7">
        <v>17.6785</v>
      </c>
      <c r="N44" s="7">
        <v>-97.464611111111111</v>
      </c>
      <c r="O44" s="4">
        <v>2230</v>
      </c>
      <c r="P44" s="4" t="s">
        <v>13</v>
      </c>
      <c r="Q44" s="4" t="s">
        <v>45</v>
      </c>
      <c r="R44" s="4" t="s">
        <v>19</v>
      </c>
      <c r="S44" s="4">
        <v>8.8000000000000007</v>
      </c>
      <c r="T44" s="22">
        <v>2</v>
      </c>
      <c r="U44" s="22" t="s">
        <v>380</v>
      </c>
      <c r="V44" s="22" t="s">
        <v>472</v>
      </c>
      <c r="W44" s="22" t="s">
        <v>458</v>
      </c>
      <c r="X44" s="22">
        <v>22</v>
      </c>
      <c r="Y44" s="4">
        <v>100</v>
      </c>
      <c r="Z44" s="26">
        <v>22.2</v>
      </c>
      <c r="AA44" s="24">
        <f>500/Z44</f>
        <v>22.522522522522522</v>
      </c>
      <c r="AC44" s="22" t="s">
        <v>470</v>
      </c>
      <c r="AD44" s="12" t="s">
        <v>480</v>
      </c>
    </row>
    <row r="45" spans="1:31">
      <c r="A45" s="4">
        <v>23</v>
      </c>
      <c r="B45" s="4" t="s">
        <v>463</v>
      </c>
      <c r="D45" s="4" t="s">
        <v>10</v>
      </c>
      <c r="E45" s="4">
        <v>939</v>
      </c>
      <c r="F45" s="5" t="s">
        <v>67</v>
      </c>
      <c r="I45" s="17" t="s">
        <v>68</v>
      </c>
      <c r="J45" s="4" t="s">
        <v>22</v>
      </c>
      <c r="K45" s="6" t="s">
        <v>264</v>
      </c>
      <c r="L45" s="8" t="s">
        <v>265</v>
      </c>
      <c r="M45" s="7">
        <v>17.465667</v>
      </c>
      <c r="N45" s="7">
        <v>-96.939017000000007</v>
      </c>
      <c r="O45" s="4">
        <v>2180</v>
      </c>
      <c r="Q45" s="4" t="s">
        <v>178</v>
      </c>
      <c r="R45" s="4" t="s">
        <v>19</v>
      </c>
      <c r="S45" s="4">
        <v>8.11</v>
      </c>
      <c r="T45" s="22">
        <v>1</v>
      </c>
      <c r="U45" s="22" t="s">
        <v>369</v>
      </c>
      <c r="V45" s="22" t="s">
        <v>458</v>
      </c>
      <c r="W45" s="22" t="s">
        <v>458</v>
      </c>
      <c r="X45" s="22">
        <v>23</v>
      </c>
      <c r="Y45" s="4" t="s">
        <v>477</v>
      </c>
      <c r="Z45" s="26">
        <v>69</v>
      </c>
      <c r="AA45" s="24">
        <f>500/Z45</f>
        <v>7.2463768115942031</v>
      </c>
      <c r="AC45" s="22" t="s">
        <v>470</v>
      </c>
      <c r="AD45" s="12" t="s">
        <v>480</v>
      </c>
    </row>
    <row r="46" spans="1:31" s="22" customFormat="1">
      <c r="A46" s="4">
        <v>23</v>
      </c>
      <c r="B46" s="4"/>
      <c r="C46" s="4"/>
      <c r="D46" s="4" t="s">
        <v>10</v>
      </c>
      <c r="E46" s="4">
        <v>939</v>
      </c>
      <c r="F46" s="5" t="s">
        <v>67</v>
      </c>
      <c r="G46" s="5"/>
      <c r="H46" s="18"/>
      <c r="I46" s="17" t="s">
        <v>68</v>
      </c>
      <c r="J46" s="4" t="s">
        <v>22</v>
      </c>
      <c r="K46" s="6" t="s">
        <v>264</v>
      </c>
      <c r="L46" s="8" t="s">
        <v>265</v>
      </c>
      <c r="M46" s="7">
        <v>17.465667</v>
      </c>
      <c r="N46" s="7">
        <v>-96.939017000000007</v>
      </c>
      <c r="O46" s="4">
        <v>2180</v>
      </c>
      <c r="P46" s="4"/>
      <c r="Q46" s="4" t="s">
        <v>178</v>
      </c>
      <c r="T46" s="22">
        <v>3</v>
      </c>
      <c r="U46" s="22" t="s">
        <v>60</v>
      </c>
      <c r="V46" s="4"/>
      <c r="W46" s="4"/>
      <c r="X46" s="4"/>
      <c r="Y46" s="4"/>
      <c r="AA46" s="25"/>
      <c r="AB46" s="4"/>
      <c r="AC46" s="4" t="s">
        <v>491</v>
      </c>
      <c r="AD46" s="4" t="s">
        <v>481</v>
      </c>
      <c r="AE46" s="4"/>
    </row>
    <row r="47" spans="1:31">
      <c r="A47" s="4">
        <v>24</v>
      </c>
      <c r="B47" s="4" t="s">
        <v>463</v>
      </c>
      <c r="D47" s="4" t="s">
        <v>10</v>
      </c>
      <c r="E47" s="4">
        <v>3802</v>
      </c>
      <c r="F47" s="5" t="s">
        <v>71</v>
      </c>
      <c r="I47" s="17" t="s">
        <v>72</v>
      </c>
      <c r="J47" s="4" t="s">
        <v>28</v>
      </c>
      <c r="K47" s="6" t="s">
        <v>75</v>
      </c>
      <c r="L47" s="8" t="s">
        <v>76</v>
      </c>
      <c r="M47" s="7">
        <v>18.077400000000001</v>
      </c>
      <c r="N47" s="7">
        <v>-97.925110000000004</v>
      </c>
      <c r="O47" s="4">
        <v>1343</v>
      </c>
      <c r="P47" s="4" t="s">
        <v>15</v>
      </c>
      <c r="Q47" s="4" t="s">
        <v>77</v>
      </c>
      <c r="R47" s="4" t="s">
        <v>51</v>
      </c>
      <c r="S47" s="4" t="s">
        <v>78</v>
      </c>
      <c r="T47" s="22">
        <v>1</v>
      </c>
      <c r="U47" s="22" t="s">
        <v>266</v>
      </c>
      <c r="V47" s="22" t="s">
        <v>472</v>
      </c>
      <c r="W47" s="22" t="s">
        <v>472</v>
      </c>
      <c r="X47" s="22">
        <v>24</v>
      </c>
      <c r="Y47" s="4">
        <v>20</v>
      </c>
      <c r="Z47" s="26">
        <v>48.8</v>
      </c>
      <c r="AA47" s="24">
        <f>500/Z47</f>
        <v>10.245901639344263</v>
      </c>
      <c r="AC47" s="22" t="s">
        <v>469</v>
      </c>
      <c r="AD47" s="12" t="s">
        <v>480</v>
      </c>
    </row>
    <row r="48" spans="1:31">
      <c r="A48" s="22">
        <v>24</v>
      </c>
      <c r="B48" s="22"/>
      <c r="C48" s="22"/>
      <c r="D48" s="4" t="s">
        <v>10</v>
      </c>
      <c r="E48" s="4">
        <v>3802</v>
      </c>
      <c r="F48" s="5" t="s">
        <v>71</v>
      </c>
      <c r="I48" s="17" t="s">
        <v>72</v>
      </c>
      <c r="J48" s="4" t="s">
        <v>28</v>
      </c>
      <c r="K48" s="6" t="s">
        <v>75</v>
      </c>
      <c r="L48" s="8" t="s">
        <v>76</v>
      </c>
      <c r="M48" s="7">
        <v>18.077400000000001</v>
      </c>
      <c r="N48" s="7">
        <v>-97.925110000000004</v>
      </c>
      <c r="O48" s="4">
        <v>1343</v>
      </c>
      <c r="P48" s="4" t="s">
        <v>15</v>
      </c>
      <c r="Q48" s="4" t="s">
        <v>77</v>
      </c>
      <c r="R48" s="22"/>
      <c r="S48" s="22"/>
      <c r="T48" s="22">
        <v>3</v>
      </c>
      <c r="U48" s="22" t="s">
        <v>309</v>
      </c>
      <c r="AC48" s="4" t="s">
        <v>491</v>
      </c>
      <c r="AD48" s="4" t="s">
        <v>481</v>
      </c>
    </row>
    <row r="49" spans="1:31" s="27" customFormat="1">
      <c r="A49" s="27">
        <v>25</v>
      </c>
      <c r="B49" s="27" t="s">
        <v>463</v>
      </c>
      <c r="D49" s="27" t="s">
        <v>10</v>
      </c>
      <c r="E49" s="27">
        <v>3031</v>
      </c>
      <c r="F49" s="87" t="s">
        <v>71</v>
      </c>
      <c r="G49" s="87"/>
      <c r="H49" s="88"/>
      <c r="I49" s="89" t="s">
        <v>72</v>
      </c>
      <c r="J49" s="27" t="s">
        <v>28</v>
      </c>
      <c r="K49" s="90" t="s">
        <v>137</v>
      </c>
      <c r="L49" s="91" t="s">
        <v>138</v>
      </c>
      <c r="M49" s="92">
        <v>18.590859999999999</v>
      </c>
      <c r="N49" s="92">
        <v>-97.540120000000002</v>
      </c>
      <c r="O49" s="27">
        <v>1900</v>
      </c>
      <c r="P49" s="27" t="s">
        <v>13</v>
      </c>
      <c r="Q49" s="27" t="s">
        <v>45</v>
      </c>
      <c r="R49" s="27" t="s">
        <v>19</v>
      </c>
      <c r="S49" s="27">
        <v>14.2</v>
      </c>
      <c r="T49" s="27">
        <v>1</v>
      </c>
      <c r="U49" s="27" t="s">
        <v>257</v>
      </c>
      <c r="V49" s="27" t="s">
        <v>472</v>
      </c>
      <c r="W49" s="27" t="s">
        <v>472</v>
      </c>
      <c r="X49" s="27">
        <v>25</v>
      </c>
      <c r="Y49" s="27">
        <v>20</v>
      </c>
      <c r="Z49" s="27">
        <v>50.8</v>
      </c>
      <c r="AA49" s="93">
        <f>500/Z49</f>
        <v>9.8425196850393704</v>
      </c>
      <c r="AC49" s="27" t="s">
        <v>470</v>
      </c>
      <c r="AD49" s="94" t="s">
        <v>480</v>
      </c>
    </row>
    <row r="50" spans="1:31">
      <c r="A50" s="4">
        <v>25</v>
      </c>
      <c r="D50" s="22" t="s">
        <v>10</v>
      </c>
      <c r="E50" s="22">
        <v>3031</v>
      </c>
      <c r="F50" s="1" t="s">
        <v>71</v>
      </c>
      <c r="G50" s="1"/>
      <c r="H50" s="19"/>
      <c r="I50" s="16" t="s">
        <v>72</v>
      </c>
      <c r="J50" s="22" t="s">
        <v>28</v>
      </c>
      <c r="K50" s="2" t="s">
        <v>137</v>
      </c>
      <c r="L50" s="9" t="s">
        <v>138</v>
      </c>
      <c r="M50" s="9">
        <v>18.590859999999999</v>
      </c>
      <c r="N50" s="9">
        <v>-97.540120000000002</v>
      </c>
      <c r="O50" s="22">
        <v>1900</v>
      </c>
      <c r="P50" s="22" t="s">
        <v>13</v>
      </c>
      <c r="Q50" s="22" t="s">
        <v>45</v>
      </c>
      <c r="R50" s="22"/>
      <c r="S50" s="22"/>
      <c r="T50" s="22">
        <v>3</v>
      </c>
      <c r="U50" s="22" t="s">
        <v>18</v>
      </c>
      <c r="V50" s="22"/>
      <c r="W50" s="22"/>
      <c r="X50" s="22"/>
      <c r="Y50" s="22"/>
      <c r="AA50" s="24"/>
      <c r="AC50" s="4" t="s">
        <v>491</v>
      </c>
      <c r="AD50" s="4" t="s">
        <v>481</v>
      </c>
    </row>
    <row r="51" spans="1:31" s="27" customFormat="1">
      <c r="A51" s="27">
        <v>26</v>
      </c>
      <c r="B51" s="27" t="s">
        <v>463</v>
      </c>
      <c r="D51" s="27" t="s">
        <v>80</v>
      </c>
      <c r="E51" s="27">
        <v>19</v>
      </c>
      <c r="F51" s="87" t="s">
        <v>71</v>
      </c>
      <c r="G51" s="87"/>
      <c r="H51" s="88"/>
      <c r="I51" s="89" t="s">
        <v>72</v>
      </c>
      <c r="J51" s="27" t="s">
        <v>28</v>
      </c>
      <c r="K51" s="90" t="s">
        <v>270</v>
      </c>
      <c r="L51" s="92" t="s">
        <v>25</v>
      </c>
      <c r="M51" s="92">
        <v>18.687384000000002</v>
      </c>
      <c r="N51" s="92">
        <v>-97.661300999999995</v>
      </c>
      <c r="O51" s="27" t="s">
        <v>25</v>
      </c>
      <c r="P51" s="27" t="s">
        <v>13</v>
      </c>
      <c r="Q51" s="27" t="s">
        <v>14</v>
      </c>
      <c r="R51" s="27" t="s">
        <v>19</v>
      </c>
      <c r="S51" s="27">
        <v>95.6</v>
      </c>
      <c r="T51" s="27">
        <v>1</v>
      </c>
      <c r="U51" s="27" t="s">
        <v>372</v>
      </c>
      <c r="V51" s="27" t="s">
        <v>472</v>
      </c>
      <c r="W51" s="27" t="s">
        <v>472</v>
      </c>
      <c r="X51" s="27">
        <v>26</v>
      </c>
      <c r="Y51" s="27">
        <v>20</v>
      </c>
      <c r="Z51" s="27">
        <v>55.6</v>
      </c>
      <c r="AA51" s="93">
        <f>500/Z51</f>
        <v>8.9928057553956826</v>
      </c>
      <c r="AC51" s="27" t="s">
        <v>469</v>
      </c>
      <c r="AD51" s="94" t="s">
        <v>480</v>
      </c>
    </row>
    <row r="52" spans="1:31">
      <c r="A52" s="4">
        <v>26</v>
      </c>
      <c r="D52" s="4" t="s">
        <v>80</v>
      </c>
      <c r="E52" s="4">
        <v>22</v>
      </c>
      <c r="F52" s="5" t="s">
        <v>71</v>
      </c>
      <c r="I52" s="17" t="s">
        <v>72</v>
      </c>
      <c r="J52" s="22" t="s">
        <v>28</v>
      </c>
      <c r="K52" s="2" t="s">
        <v>270</v>
      </c>
      <c r="L52" s="9" t="s">
        <v>25</v>
      </c>
      <c r="M52" s="9">
        <v>18.687384000000002</v>
      </c>
      <c r="N52" s="9">
        <v>-97.661300999999995</v>
      </c>
      <c r="O52" s="22" t="s">
        <v>25</v>
      </c>
      <c r="P52" s="4" t="s">
        <v>15</v>
      </c>
      <c r="Q52" s="4" t="s">
        <v>14</v>
      </c>
      <c r="R52" s="22"/>
      <c r="S52" s="22"/>
      <c r="T52" s="22">
        <v>3</v>
      </c>
      <c r="U52" s="22" t="s">
        <v>95</v>
      </c>
      <c r="AD52" s="4" t="s">
        <v>481</v>
      </c>
    </row>
    <row r="53" spans="1:31">
      <c r="A53" s="4">
        <v>27</v>
      </c>
      <c r="B53" s="4" t="s">
        <v>463</v>
      </c>
      <c r="D53" s="4" t="s">
        <v>10</v>
      </c>
      <c r="E53" s="4">
        <v>3864</v>
      </c>
      <c r="F53" s="5" t="s">
        <v>82</v>
      </c>
      <c r="G53" s="5" t="s">
        <v>82</v>
      </c>
      <c r="I53" s="17" t="s">
        <v>87</v>
      </c>
      <c r="J53" s="4" t="s">
        <v>22</v>
      </c>
      <c r="K53" s="6" t="s">
        <v>83</v>
      </c>
      <c r="L53" s="8" t="s">
        <v>84</v>
      </c>
      <c r="M53" s="7">
        <v>17.71265</v>
      </c>
      <c r="N53" s="7">
        <v>-98.206069999999997</v>
      </c>
      <c r="O53" s="4">
        <v>1629</v>
      </c>
      <c r="P53" s="4" t="s">
        <v>13</v>
      </c>
      <c r="Q53" s="4" t="s">
        <v>45</v>
      </c>
      <c r="R53" s="4" t="s">
        <v>51</v>
      </c>
      <c r="S53" s="4" t="s">
        <v>86</v>
      </c>
      <c r="T53" s="22">
        <v>1</v>
      </c>
      <c r="U53" s="22" t="s">
        <v>43</v>
      </c>
      <c r="V53" s="22" t="s">
        <v>472</v>
      </c>
      <c r="W53" s="22" t="s">
        <v>458</v>
      </c>
      <c r="X53" s="22">
        <v>27</v>
      </c>
      <c r="Y53" s="4">
        <v>20</v>
      </c>
      <c r="Z53" s="26">
        <v>43.8</v>
      </c>
      <c r="AA53" s="24">
        <f>500/Z53</f>
        <v>11.415525114155251</v>
      </c>
      <c r="AC53" s="22" t="s">
        <v>470</v>
      </c>
      <c r="AD53" s="12" t="s">
        <v>480</v>
      </c>
    </row>
    <row r="54" spans="1:31">
      <c r="A54" s="4">
        <v>27</v>
      </c>
      <c r="B54" s="4" t="s">
        <v>463</v>
      </c>
      <c r="D54" s="4" t="s">
        <v>10</v>
      </c>
      <c r="E54" s="4">
        <v>3867</v>
      </c>
      <c r="F54" s="5" t="s">
        <v>82</v>
      </c>
      <c r="G54" s="5" t="s">
        <v>82</v>
      </c>
      <c r="I54" s="17" t="s">
        <v>87</v>
      </c>
      <c r="J54" s="4" t="s">
        <v>22</v>
      </c>
      <c r="K54" s="6" t="s">
        <v>83</v>
      </c>
      <c r="L54" s="8" t="s">
        <v>320</v>
      </c>
      <c r="M54" s="7">
        <v>17.71265</v>
      </c>
      <c r="N54" s="7">
        <v>-98.206069999999997</v>
      </c>
      <c r="O54" s="4">
        <v>1629</v>
      </c>
      <c r="P54" s="4" t="s">
        <v>15</v>
      </c>
      <c r="Q54" s="4" t="s">
        <v>45</v>
      </c>
      <c r="R54" s="22"/>
      <c r="S54" s="22"/>
      <c r="T54" s="22">
        <v>1</v>
      </c>
      <c r="U54" s="22" t="s">
        <v>64</v>
      </c>
      <c r="V54" s="4" t="s">
        <v>473</v>
      </c>
      <c r="W54" s="4" t="s">
        <v>472</v>
      </c>
      <c r="X54" s="4" t="s">
        <v>495</v>
      </c>
      <c r="Y54" s="4">
        <v>50</v>
      </c>
      <c r="Z54" s="26">
        <v>83.4</v>
      </c>
      <c r="AA54" s="24">
        <f>500/Z54</f>
        <v>5.9952038369304557</v>
      </c>
      <c r="AB54" s="41"/>
      <c r="AC54" s="22" t="s">
        <v>469</v>
      </c>
      <c r="AD54" s="47" t="s">
        <v>480</v>
      </c>
      <c r="AE54" s="22"/>
    </row>
    <row r="55" spans="1:31">
      <c r="A55" s="22">
        <v>28</v>
      </c>
      <c r="B55" s="22" t="s">
        <v>463</v>
      </c>
      <c r="C55" s="22"/>
      <c r="D55" s="4" t="s">
        <v>20</v>
      </c>
      <c r="E55" s="4">
        <v>1123</v>
      </c>
      <c r="F55" s="5" t="s">
        <v>82</v>
      </c>
      <c r="G55" s="5" t="s">
        <v>82</v>
      </c>
      <c r="I55" s="17" t="s">
        <v>87</v>
      </c>
      <c r="J55" s="4" t="s">
        <v>22</v>
      </c>
      <c r="K55" s="6" t="s">
        <v>271</v>
      </c>
      <c r="L55" s="8" t="s">
        <v>272</v>
      </c>
      <c r="M55" s="7">
        <v>17.886638888888889</v>
      </c>
      <c r="N55" s="7">
        <v>-97.842555555555549</v>
      </c>
      <c r="O55" s="4">
        <v>1858</v>
      </c>
      <c r="P55" s="4" t="s">
        <v>15</v>
      </c>
      <c r="Q55" s="4" t="s">
        <v>14</v>
      </c>
      <c r="R55" s="4" t="s">
        <v>19</v>
      </c>
      <c r="S55" s="4">
        <v>15.11</v>
      </c>
      <c r="T55" s="22">
        <v>2</v>
      </c>
      <c r="U55" s="22" t="s">
        <v>79</v>
      </c>
      <c r="V55" s="22" t="s">
        <v>458</v>
      </c>
      <c r="W55" s="22" t="s">
        <v>473</v>
      </c>
      <c r="X55" s="22">
        <v>28</v>
      </c>
      <c r="Y55" s="4">
        <v>150</v>
      </c>
      <c r="Z55" s="26">
        <v>40.6</v>
      </c>
      <c r="AA55" s="24">
        <f>500/Z55</f>
        <v>12.315270935960591</v>
      </c>
      <c r="AC55" s="22" t="s">
        <v>470</v>
      </c>
      <c r="AD55" s="12" t="s">
        <v>480</v>
      </c>
    </row>
    <row r="56" spans="1:31">
      <c r="A56" s="4">
        <v>28</v>
      </c>
      <c r="D56" s="4" t="s">
        <v>20</v>
      </c>
      <c r="E56" s="4">
        <v>1123</v>
      </c>
      <c r="F56" s="5" t="s">
        <v>82</v>
      </c>
      <c r="G56" s="5" t="s">
        <v>82</v>
      </c>
      <c r="I56" s="17" t="s">
        <v>87</v>
      </c>
      <c r="J56" s="4" t="s">
        <v>22</v>
      </c>
      <c r="K56" s="6" t="s">
        <v>271</v>
      </c>
      <c r="L56" s="8" t="s">
        <v>272</v>
      </c>
      <c r="M56" s="7">
        <v>17.886638888888889</v>
      </c>
      <c r="N56" s="7">
        <v>-97.842555555555549</v>
      </c>
      <c r="O56" s="4">
        <v>1858</v>
      </c>
      <c r="P56" s="4" t="s">
        <v>15</v>
      </c>
      <c r="Q56" s="4" t="s">
        <v>14</v>
      </c>
      <c r="R56" s="22"/>
      <c r="S56" s="22"/>
      <c r="T56" s="22">
        <v>3</v>
      </c>
      <c r="U56" s="22" t="s">
        <v>94</v>
      </c>
      <c r="AC56" s="4" t="s">
        <v>491</v>
      </c>
      <c r="AD56" s="4" t="s">
        <v>481</v>
      </c>
    </row>
    <row r="57" spans="1:31">
      <c r="A57" s="4">
        <v>29</v>
      </c>
      <c r="B57" s="4" t="s">
        <v>463</v>
      </c>
      <c r="D57" s="4" t="s">
        <v>10</v>
      </c>
      <c r="E57" s="4">
        <v>3263</v>
      </c>
      <c r="F57" s="5" t="s">
        <v>82</v>
      </c>
      <c r="G57" s="5" t="s">
        <v>82</v>
      </c>
      <c r="I57" s="17" t="s">
        <v>87</v>
      </c>
      <c r="J57" s="4" t="s">
        <v>57</v>
      </c>
      <c r="K57" s="6" t="s">
        <v>88</v>
      </c>
      <c r="L57" s="8" t="s">
        <v>89</v>
      </c>
      <c r="M57" s="7">
        <v>17.552611111111101</v>
      </c>
      <c r="N57" s="7">
        <v>-98.826277777777776</v>
      </c>
      <c r="O57" s="4">
        <v>2144</v>
      </c>
      <c r="P57" s="4" t="s">
        <v>15</v>
      </c>
      <c r="Q57" s="4" t="s">
        <v>45</v>
      </c>
      <c r="R57" s="4" t="s">
        <v>19</v>
      </c>
      <c r="S57" s="4">
        <v>4.12</v>
      </c>
      <c r="T57" s="22">
        <v>1</v>
      </c>
      <c r="U57" s="22" t="s">
        <v>321</v>
      </c>
      <c r="V57" s="22" t="s">
        <v>473</v>
      </c>
      <c r="W57" s="22" t="s">
        <v>473</v>
      </c>
      <c r="X57" s="22">
        <v>29</v>
      </c>
      <c r="Y57" s="4">
        <v>100</v>
      </c>
      <c r="Z57" s="26">
        <v>44.8</v>
      </c>
      <c r="AA57" s="24">
        <f>500/Z57</f>
        <v>11.160714285714286</v>
      </c>
      <c r="AC57" s="22" t="s">
        <v>470</v>
      </c>
      <c r="AD57" s="12" t="s">
        <v>480</v>
      </c>
    </row>
    <row r="58" spans="1:31">
      <c r="A58" s="4">
        <v>29</v>
      </c>
      <c r="D58" s="4" t="s">
        <v>10</v>
      </c>
      <c r="E58" s="4">
        <v>3263</v>
      </c>
      <c r="F58" s="5" t="s">
        <v>82</v>
      </c>
      <c r="G58" s="5" t="s">
        <v>82</v>
      </c>
      <c r="I58" s="17" t="s">
        <v>87</v>
      </c>
      <c r="J58" s="4" t="s">
        <v>57</v>
      </c>
      <c r="K58" s="6" t="s">
        <v>88</v>
      </c>
      <c r="L58" s="8" t="s">
        <v>89</v>
      </c>
      <c r="M58" s="7">
        <v>17.552611111111101</v>
      </c>
      <c r="N58" s="7">
        <v>-98.826277777777776</v>
      </c>
      <c r="O58" s="4">
        <v>2144</v>
      </c>
      <c r="P58" s="4" t="s">
        <v>15</v>
      </c>
      <c r="Q58" s="4" t="s">
        <v>45</v>
      </c>
      <c r="R58" s="22"/>
      <c r="S58" s="22"/>
      <c r="T58" s="22">
        <v>3</v>
      </c>
      <c r="U58" s="22" t="s">
        <v>366</v>
      </c>
      <c r="AC58" s="4" t="s">
        <v>491</v>
      </c>
      <c r="AD58" s="4" t="s">
        <v>481</v>
      </c>
    </row>
    <row r="59" spans="1:31">
      <c r="A59" s="4">
        <v>30</v>
      </c>
      <c r="B59" s="4" t="s">
        <v>463</v>
      </c>
      <c r="D59" s="4" t="s">
        <v>10</v>
      </c>
      <c r="E59" s="4">
        <v>3057</v>
      </c>
      <c r="F59" s="5" t="s">
        <v>82</v>
      </c>
      <c r="G59" s="5" t="s">
        <v>82</v>
      </c>
      <c r="I59" s="17" t="s">
        <v>93</v>
      </c>
      <c r="J59" s="4" t="s">
        <v>57</v>
      </c>
      <c r="K59" s="6" t="s">
        <v>91</v>
      </c>
      <c r="L59" s="8" t="s">
        <v>92</v>
      </c>
      <c r="M59" s="7">
        <v>17.58653</v>
      </c>
      <c r="N59" s="7">
        <v>-99.38467</v>
      </c>
      <c r="O59" s="4">
        <v>1388</v>
      </c>
      <c r="P59" s="4" t="s">
        <v>13</v>
      </c>
      <c r="Q59" s="4" t="s">
        <v>14</v>
      </c>
      <c r="R59" s="22"/>
      <c r="S59" s="22"/>
      <c r="T59" s="22">
        <v>1</v>
      </c>
      <c r="U59" s="22" t="s">
        <v>371</v>
      </c>
      <c r="V59" s="4" t="s">
        <v>473</v>
      </c>
      <c r="W59" s="4" t="s">
        <v>0</v>
      </c>
      <c r="X59" s="4" t="s">
        <v>489</v>
      </c>
      <c r="Y59" s="4">
        <v>98</v>
      </c>
      <c r="Z59" s="26">
        <v>60.6</v>
      </c>
      <c r="AA59" s="25">
        <f>500/Z59</f>
        <v>8.2508250825082499</v>
      </c>
      <c r="AC59" s="22" t="s">
        <v>469</v>
      </c>
      <c r="AD59" s="47" t="s">
        <v>480</v>
      </c>
    </row>
    <row r="60" spans="1:31">
      <c r="A60" s="4">
        <v>30</v>
      </c>
      <c r="B60" s="4" t="s">
        <v>463</v>
      </c>
      <c r="D60" s="4" t="s">
        <v>10</v>
      </c>
      <c r="E60" s="4">
        <v>3058</v>
      </c>
      <c r="F60" s="5" t="s">
        <v>82</v>
      </c>
      <c r="G60" s="5" t="s">
        <v>82</v>
      </c>
      <c r="I60" s="17" t="s">
        <v>93</v>
      </c>
      <c r="J60" s="4" t="s">
        <v>57</v>
      </c>
      <c r="K60" s="6" t="s">
        <v>91</v>
      </c>
      <c r="L60" s="8" t="s">
        <v>92</v>
      </c>
      <c r="M60" s="7">
        <v>17.58653</v>
      </c>
      <c r="N60" s="7">
        <v>-99.38467</v>
      </c>
      <c r="O60" s="4">
        <v>1388</v>
      </c>
      <c r="P60" s="4" t="s">
        <v>15</v>
      </c>
      <c r="Q60" s="4" t="s">
        <v>14</v>
      </c>
      <c r="R60" s="4" t="s">
        <v>19</v>
      </c>
      <c r="S60" s="10">
        <v>3.1</v>
      </c>
      <c r="T60" s="22">
        <v>1</v>
      </c>
      <c r="U60" s="22" t="s">
        <v>230</v>
      </c>
      <c r="V60" s="22" t="s">
        <v>473</v>
      </c>
      <c r="W60" s="22" t="s">
        <v>473</v>
      </c>
      <c r="X60" s="22">
        <v>30</v>
      </c>
      <c r="Y60" s="4">
        <v>600</v>
      </c>
      <c r="Z60" s="26">
        <v>42.8</v>
      </c>
      <c r="AA60" s="24">
        <f>500/Z60</f>
        <v>11.682242990654206</v>
      </c>
      <c r="AC60" s="22" t="s">
        <v>470</v>
      </c>
      <c r="AD60" s="12" t="s">
        <v>480</v>
      </c>
    </row>
    <row r="61" spans="1:31">
      <c r="A61" s="4">
        <v>31</v>
      </c>
      <c r="B61" s="4" t="s">
        <v>463</v>
      </c>
      <c r="D61" s="4" t="s">
        <v>10</v>
      </c>
      <c r="E61" s="4">
        <v>3648</v>
      </c>
      <c r="F61" s="5" t="s">
        <v>82</v>
      </c>
      <c r="G61" s="5" t="s">
        <v>82</v>
      </c>
      <c r="I61" s="17" t="s">
        <v>93</v>
      </c>
      <c r="J61" s="4" t="s">
        <v>57</v>
      </c>
      <c r="K61" s="6" t="s">
        <v>96</v>
      </c>
      <c r="L61" s="8" t="s">
        <v>99</v>
      </c>
      <c r="M61" s="7">
        <v>18.000777777777778</v>
      </c>
      <c r="N61" s="7">
        <v>-98.836222222222219</v>
      </c>
      <c r="O61" s="4">
        <v>1540</v>
      </c>
      <c r="P61" s="4" t="s">
        <v>13</v>
      </c>
      <c r="Q61" s="4" t="s">
        <v>14</v>
      </c>
      <c r="R61" s="22"/>
      <c r="S61" s="22"/>
      <c r="T61" s="22">
        <v>1</v>
      </c>
      <c r="U61" s="22" t="s">
        <v>219</v>
      </c>
      <c r="V61" s="4" t="s">
        <v>473</v>
      </c>
      <c r="W61" s="4" t="s">
        <v>0</v>
      </c>
      <c r="X61" s="4" t="s">
        <v>496</v>
      </c>
      <c r="Y61" s="4" t="s">
        <v>477</v>
      </c>
      <c r="Z61" s="26">
        <v>82.4</v>
      </c>
      <c r="AA61" s="25">
        <f>500/Z61</f>
        <v>6.0679611650485432</v>
      </c>
      <c r="AC61" s="22" t="s">
        <v>469</v>
      </c>
      <c r="AD61" s="47" t="s">
        <v>480</v>
      </c>
    </row>
    <row r="62" spans="1:31" ht="15" customHeight="1">
      <c r="A62" s="22">
        <v>31</v>
      </c>
      <c r="B62" s="22" t="s">
        <v>463</v>
      </c>
      <c r="C62" s="22"/>
      <c r="D62" s="4" t="s">
        <v>54</v>
      </c>
      <c r="E62" s="4">
        <v>961</v>
      </c>
      <c r="F62" s="5" t="s">
        <v>82</v>
      </c>
      <c r="G62" s="5" t="s">
        <v>82</v>
      </c>
      <c r="I62" s="17" t="s">
        <v>93</v>
      </c>
      <c r="J62" s="4" t="s">
        <v>57</v>
      </c>
      <c r="K62" s="6" t="s">
        <v>96</v>
      </c>
      <c r="L62" s="8" t="s">
        <v>97</v>
      </c>
      <c r="M62" s="7">
        <v>18.002611111111111</v>
      </c>
      <c r="N62" s="7">
        <v>-98.836194444444445</v>
      </c>
      <c r="O62" s="4">
        <v>1530</v>
      </c>
      <c r="P62" s="4" t="s">
        <v>15</v>
      </c>
      <c r="Q62" s="4" t="s">
        <v>14</v>
      </c>
      <c r="R62" s="4" t="s">
        <v>19</v>
      </c>
      <c r="S62" s="4">
        <v>89.5</v>
      </c>
      <c r="T62" s="22">
        <v>2</v>
      </c>
      <c r="U62" s="11" t="s">
        <v>55</v>
      </c>
      <c r="V62" s="22" t="s">
        <v>472</v>
      </c>
      <c r="W62" s="22" t="s">
        <v>0</v>
      </c>
      <c r="X62" s="22">
        <v>31</v>
      </c>
      <c r="Y62" s="22">
        <v>25</v>
      </c>
      <c r="Z62" s="26">
        <v>40.6</v>
      </c>
      <c r="AA62" s="24">
        <f>500/Z62</f>
        <v>12.315270935960591</v>
      </c>
      <c r="AC62" s="4" t="s">
        <v>469</v>
      </c>
      <c r="AD62" s="12" t="s">
        <v>480</v>
      </c>
    </row>
    <row r="63" spans="1:31" s="22" customFormat="1">
      <c r="A63" s="28">
        <v>32</v>
      </c>
      <c r="B63" s="28"/>
      <c r="C63" s="28"/>
      <c r="D63" s="28" t="s">
        <v>31</v>
      </c>
      <c r="E63" s="28">
        <v>14154</v>
      </c>
      <c r="F63" s="29" t="s">
        <v>71</v>
      </c>
      <c r="G63" s="29"/>
      <c r="H63" s="30" t="s">
        <v>463</v>
      </c>
      <c r="I63" s="31" t="s">
        <v>102</v>
      </c>
      <c r="J63" s="28" t="s">
        <v>28</v>
      </c>
      <c r="K63" s="32" t="s">
        <v>289</v>
      </c>
      <c r="L63" s="33" t="s">
        <v>101</v>
      </c>
      <c r="M63" s="34">
        <v>19.413967</v>
      </c>
      <c r="N63" s="34">
        <v>-97.415718999999996</v>
      </c>
      <c r="O63" s="28"/>
      <c r="P63" s="28" t="s">
        <v>25</v>
      </c>
      <c r="Q63" s="28" t="s">
        <v>25</v>
      </c>
      <c r="R63" s="28" t="s">
        <v>81</v>
      </c>
      <c r="S63" s="28"/>
      <c r="T63" s="28"/>
      <c r="U63" s="28"/>
      <c r="V63" s="28" t="s">
        <v>0</v>
      </c>
      <c r="W63" s="28" t="s">
        <v>473</v>
      </c>
      <c r="X63" s="28">
        <v>32</v>
      </c>
      <c r="Y63" s="28">
        <v>20</v>
      </c>
      <c r="Z63" s="28">
        <v>20.2</v>
      </c>
      <c r="AA63" s="35">
        <f>500/Z63</f>
        <v>24.752475247524753</v>
      </c>
      <c r="AB63" s="28"/>
      <c r="AC63" s="28" t="s">
        <v>471</v>
      </c>
      <c r="AD63" s="2" t="s">
        <v>480</v>
      </c>
      <c r="AE63" s="4"/>
    </row>
    <row r="64" spans="1:31">
      <c r="A64" s="28">
        <v>32</v>
      </c>
      <c r="B64" s="28"/>
      <c r="C64" s="28"/>
      <c r="D64" s="28" t="s">
        <v>31</v>
      </c>
      <c r="E64" s="28">
        <v>14154</v>
      </c>
      <c r="F64" s="29" t="s">
        <v>71</v>
      </c>
      <c r="G64" s="29"/>
      <c r="H64" s="30" t="s">
        <v>463</v>
      </c>
      <c r="I64" s="31" t="s">
        <v>102</v>
      </c>
      <c r="J64" s="28" t="s">
        <v>28</v>
      </c>
      <c r="K64" s="32" t="s">
        <v>289</v>
      </c>
      <c r="L64" s="33" t="s">
        <v>101</v>
      </c>
      <c r="M64" s="34">
        <v>19.413967</v>
      </c>
      <c r="N64" s="34">
        <v>-97.415718999999996</v>
      </c>
      <c r="O64" s="28"/>
      <c r="P64" s="28" t="s">
        <v>25</v>
      </c>
      <c r="Q64" s="28" t="s">
        <v>25</v>
      </c>
      <c r="R64" s="28"/>
      <c r="S64" s="28"/>
      <c r="T64" s="28"/>
      <c r="U64" s="28"/>
      <c r="V64" s="28" t="s">
        <v>0</v>
      </c>
      <c r="W64" s="28" t="s">
        <v>472</v>
      </c>
      <c r="X64" s="28" t="s">
        <v>489</v>
      </c>
      <c r="Y64" s="28">
        <v>98</v>
      </c>
      <c r="Z64" s="28"/>
      <c r="AA64" s="35"/>
      <c r="AB64" s="28"/>
      <c r="AC64" s="28" t="s">
        <v>471</v>
      </c>
      <c r="AD64" s="4" t="s">
        <v>480</v>
      </c>
    </row>
    <row r="65" spans="1:31">
      <c r="A65" s="4">
        <v>33</v>
      </c>
      <c r="B65" s="4" t="s">
        <v>463</v>
      </c>
      <c r="D65" s="22" t="s">
        <v>10</v>
      </c>
      <c r="E65" s="22">
        <v>2120</v>
      </c>
      <c r="F65" s="1" t="s">
        <v>71</v>
      </c>
      <c r="G65" s="1"/>
      <c r="H65" s="19"/>
      <c r="I65" s="17" t="s">
        <v>102</v>
      </c>
      <c r="J65" s="4" t="s">
        <v>104</v>
      </c>
      <c r="K65" s="6" t="s">
        <v>105</v>
      </c>
      <c r="L65" s="8" t="s">
        <v>106</v>
      </c>
      <c r="M65" s="7">
        <v>19.24775</v>
      </c>
      <c r="N65" s="7">
        <v>-98.333111111111108</v>
      </c>
      <c r="O65" s="4">
        <v>2316</v>
      </c>
      <c r="P65" s="4" t="s">
        <v>13</v>
      </c>
      <c r="Q65" s="4" t="s">
        <v>45</v>
      </c>
      <c r="R65" s="4" t="s">
        <v>19</v>
      </c>
      <c r="S65" s="4">
        <v>23.8</v>
      </c>
      <c r="T65" s="22">
        <v>2</v>
      </c>
      <c r="U65" s="22" t="s">
        <v>365</v>
      </c>
      <c r="V65" s="22" t="s">
        <v>458</v>
      </c>
      <c r="W65" s="22" t="s">
        <v>458</v>
      </c>
      <c r="X65" s="22">
        <v>33</v>
      </c>
      <c r="Y65" s="4">
        <v>100</v>
      </c>
      <c r="Z65" s="26">
        <v>36.6</v>
      </c>
      <c r="AA65" s="24">
        <f>500/Z65</f>
        <v>13.66120218579235</v>
      </c>
      <c r="AC65" s="4" t="s">
        <v>470</v>
      </c>
      <c r="AD65" s="12" t="s">
        <v>480</v>
      </c>
      <c r="AE65" s="22"/>
    </row>
    <row r="66" spans="1:31">
      <c r="A66" s="4">
        <v>33</v>
      </c>
      <c r="B66" s="4" t="s">
        <v>463</v>
      </c>
      <c r="D66" s="22" t="s">
        <v>10</v>
      </c>
      <c r="E66" s="22">
        <v>2121</v>
      </c>
      <c r="F66" s="1" t="s">
        <v>71</v>
      </c>
      <c r="G66" s="1"/>
      <c r="H66" s="19"/>
      <c r="I66" s="17" t="s">
        <v>102</v>
      </c>
      <c r="J66" s="4" t="s">
        <v>104</v>
      </c>
      <c r="K66" s="6" t="s">
        <v>105</v>
      </c>
      <c r="L66" s="8" t="s">
        <v>106</v>
      </c>
      <c r="M66" s="7">
        <v>19.24775</v>
      </c>
      <c r="N66" s="7">
        <v>-98.333111111111108</v>
      </c>
      <c r="O66" s="4">
        <v>2316</v>
      </c>
      <c r="P66" s="4" t="s">
        <v>13</v>
      </c>
      <c r="Q66" s="4" t="s">
        <v>45</v>
      </c>
      <c r="R66" s="22"/>
      <c r="S66" s="22"/>
      <c r="T66" s="22">
        <v>2</v>
      </c>
      <c r="U66" s="22" t="s">
        <v>149</v>
      </c>
      <c r="V66" s="4" t="s">
        <v>473</v>
      </c>
      <c r="W66" s="4" t="s">
        <v>0</v>
      </c>
      <c r="X66" s="4" t="s">
        <v>489</v>
      </c>
      <c r="Y66" s="4">
        <v>85</v>
      </c>
      <c r="Z66" s="26">
        <v>28.6</v>
      </c>
      <c r="AA66" s="24">
        <f>500/Z66</f>
        <v>17.482517482517483</v>
      </c>
      <c r="AC66" s="22" t="s">
        <v>469</v>
      </c>
      <c r="AD66" s="47" t="s">
        <v>480</v>
      </c>
    </row>
    <row r="67" spans="1:31">
      <c r="A67" s="22">
        <v>34</v>
      </c>
      <c r="B67" s="22" t="s">
        <v>463</v>
      </c>
      <c r="C67" s="22"/>
      <c r="D67" s="22" t="s">
        <v>10</v>
      </c>
      <c r="E67" s="22">
        <v>3796</v>
      </c>
      <c r="F67" s="1" t="s">
        <v>71</v>
      </c>
      <c r="G67" s="1"/>
      <c r="H67" s="19"/>
      <c r="I67" s="17" t="s">
        <v>102</v>
      </c>
      <c r="J67" s="4" t="s">
        <v>28</v>
      </c>
      <c r="K67" s="6" t="s">
        <v>108</v>
      </c>
      <c r="L67" s="8" t="s">
        <v>109</v>
      </c>
      <c r="M67" s="7">
        <v>18.387129999999999</v>
      </c>
      <c r="N67" s="7">
        <v>-98.305880000000002</v>
      </c>
      <c r="O67" s="4">
        <v>989</v>
      </c>
      <c r="P67" s="4" t="s">
        <v>13</v>
      </c>
      <c r="Q67" s="4" t="s">
        <v>14</v>
      </c>
      <c r="R67" s="4" t="s">
        <v>51</v>
      </c>
      <c r="S67" s="4" t="s">
        <v>111</v>
      </c>
      <c r="T67" s="22">
        <v>2</v>
      </c>
      <c r="U67" s="22" t="s">
        <v>368</v>
      </c>
      <c r="V67" s="22" t="s">
        <v>473</v>
      </c>
      <c r="W67" s="22" t="s">
        <v>0</v>
      </c>
      <c r="X67" s="22">
        <v>34</v>
      </c>
      <c r="Y67" s="4">
        <v>250</v>
      </c>
      <c r="Z67" s="26">
        <v>30</v>
      </c>
      <c r="AA67" s="24">
        <f>500/Z67</f>
        <v>16.666666666666668</v>
      </c>
      <c r="AC67" s="22" t="s">
        <v>469</v>
      </c>
      <c r="AD67" s="12" t="s">
        <v>480</v>
      </c>
    </row>
    <row r="68" spans="1:31">
      <c r="A68" s="4">
        <v>34</v>
      </c>
      <c r="D68" s="22" t="s">
        <v>10</v>
      </c>
      <c r="E68" s="22">
        <v>3796</v>
      </c>
      <c r="F68" s="1" t="s">
        <v>71</v>
      </c>
      <c r="G68" s="1"/>
      <c r="H68" s="19"/>
      <c r="I68" s="17" t="s">
        <v>102</v>
      </c>
      <c r="J68" s="4" t="s">
        <v>28</v>
      </c>
      <c r="K68" s="6" t="s">
        <v>108</v>
      </c>
      <c r="L68" s="8" t="s">
        <v>109</v>
      </c>
      <c r="M68" s="7">
        <v>18.387129999999999</v>
      </c>
      <c r="N68" s="7">
        <v>-98.305880000000002</v>
      </c>
      <c r="O68" s="4">
        <v>989</v>
      </c>
      <c r="P68" s="4" t="s">
        <v>13</v>
      </c>
      <c r="Q68" s="4" t="s">
        <v>14</v>
      </c>
      <c r="R68" s="22"/>
      <c r="S68" s="22"/>
      <c r="T68" s="22">
        <v>3</v>
      </c>
      <c r="U68" s="22" t="s">
        <v>64</v>
      </c>
      <c r="AC68" s="4" t="s">
        <v>491</v>
      </c>
      <c r="AD68" s="4" t="s">
        <v>481</v>
      </c>
    </row>
    <row r="69" spans="1:31">
      <c r="A69" s="28">
        <v>35</v>
      </c>
      <c r="B69" s="28"/>
      <c r="C69" s="28"/>
      <c r="D69" s="28" t="s">
        <v>10</v>
      </c>
      <c r="E69" s="28">
        <v>2083</v>
      </c>
      <c r="F69" s="29" t="s">
        <v>71</v>
      </c>
      <c r="G69" s="29"/>
      <c r="H69" s="30"/>
      <c r="I69" s="31" t="s">
        <v>102</v>
      </c>
      <c r="J69" s="28" t="s">
        <v>28</v>
      </c>
      <c r="K69" s="32" t="s">
        <v>267</v>
      </c>
      <c r="L69" s="33" t="s">
        <v>268</v>
      </c>
      <c r="M69" s="34">
        <v>18.646222222222221</v>
      </c>
      <c r="N69" s="34">
        <v>-98.672944444444454</v>
      </c>
      <c r="O69" s="28">
        <v>1377</v>
      </c>
      <c r="P69" s="28" t="s">
        <v>25</v>
      </c>
      <c r="Q69" s="28"/>
      <c r="R69" s="28" t="s">
        <v>19</v>
      </c>
      <c r="S69" s="28">
        <v>14.4</v>
      </c>
      <c r="T69" s="28"/>
      <c r="U69" s="28"/>
      <c r="V69" s="28" t="s">
        <v>0</v>
      </c>
      <c r="W69" s="28" t="s">
        <v>0</v>
      </c>
      <c r="X69" s="28">
        <v>35</v>
      </c>
      <c r="Y69" s="28">
        <v>110</v>
      </c>
      <c r="Z69" s="28">
        <v>3.22</v>
      </c>
      <c r="AA69" s="35">
        <f>500/Z69</f>
        <v>155.27950310559007</v>
      </c>
      <c r="AB69" s="28"/>
      <c r="AC69" s="28" t="s">
        <v>471</v>
      </c>
      <c r="AD69" s="2" t="s">
        <v>480</v>
      </c>
      <c r="AE69" s="22"/>
    </row>
    <row r="70" spans="1:31" s="43" customFormat="1" ht="15" customHeight="1">
      <c r="A70" s="43">
        <v>35</v>
      </c>
      <c r="D70" s="43" t="s">
        <v>10</v>
      </c>
      <c r="E70" s="43">
        <v>2083</v>
      </c>
      <c r="F70" s="72" t="s">
        <v>71</v>
      </c>
      <c r="G70" s="72"/>
      <c r="H70" s="73"/>
      <c r="I70" s="74" t="s">
        <v>102</v>
      </c>
      <c r="J70" s="43" t="s">
        <v>28</v>
      </c>
      <c r="K70" s="36" t="s">
        <v>267</v>
      </c>
      <c r="L70" s="75" t="s">
        <v>268</v>
      </c>
      <c r="M70" s="76">
        <v>18.646222222222221</v>
      </c>
      <c r="N70" s="76">
        <v>-98.672944444444454</v>
      </c>
      <c r="O70" s="43">
        <v>1377</v>
      </c>
      <c r="P70" s="43" t="s">
        <v>25</v>
      </c>
      <c r="T70" s="43">
        <v>3</v>
      </c>
      <c r="U70" s="43" t="s">
        <v>219</v>
      </c>
      <c r="AA70" s="77"/>
      <c r="AD70" s="43" t="s">
        <v>481</v>
      </c>
    </row>
    <row r="71" spans="1:31" ht="15" customHeight="1">
      <c r="A71" s="22">
        <v>36</v>
      </c>
      <c r="B71" s="22"/>
      <c r="C71" s="22"/>
      <c r="D71" s="22" t="s">
        <v>54</v>
      </c>
      <c r="E71" s="22">
        <v>461</v>
      </c>
      <c r="F71" s="1" t="s">
        <v>82</v>
      </c>
      <c r="G71" s="1" t="s">
        <v>82</v>
      </c>
      <c r="H71" s="19" t="s">
        <v>463</v>
      </c>
      <c r="I71" s="17" t="s">
        <v>114</v>
      </c>
      <c r="J71" s="4" t="s">
        <v>61</v>
      </c>
      <c r="K71" s="6" t="s">
        <v>112</v>
      </c>
      <c r="L71" s="8" t="s">
        <v>113</v>
      </c>
      <c r="M71" s="7">
        <v>18.835311000000001</v>
      </c>
      <c r="N71" s="7">
        <v>-99.187531000000007</v>
      </c>
      <c r="O71" s="4">
        <v>1229</v>
      </c>
      <c r="P71" s="4" t="s">
        <v>13</v>
      </c>
      <c r="Q71" s="4" t="s">
        <v>14</v>
      </c>
      <c r="R71" s="22"/>
      <c r="S71" s="22"/>
      <c r="T71" s="22">
        <v>3</v>
      </c>
      <c r="U71" s="22" t="s">
        <v>367</v>
      </c>
      <c r="V71" s="4" t="s">
        <v>0</v>
      </c>
      <c r="W71" s="4" t="s">
        <v>458</v>
      </c>
      <c r="X71" s="4" t="s">
        <v>541</v>
      </c>
      <c r="Y71" s="4">
        <v>98</v>
      </c>
      <c r="AC71" s="4" t="s">
        <v>471</v>
      </c>
      <c r="AD71" s="4" t="s">
        <v>480</v>
      </c>
    </row>
    <row r="72" spans="1:31">
      <c r="A72" s="28">
        <v>36</v>
      </c>
      <c r="B72" s="28"/>
      <c r="C72" s="28"/>
      <c r="D72" s="28" t="s">
        <v>54</v>
      </c>
      <c r="E72" s="28">
        <v>461</v>
      </c>
      <c r="F72" s="29" t="s">
        <v>82</v>
      </c>
      <c r="G72" s="29" t="s">
        <v>82</v>
      </c>
      <c r="H72" s="30" t="s">
        <v>463</v>
      </c>
      <c r="I72" s="31" t="s">
        <v>114</v>
      </c>
      <c r="J72" s="28" t="s">
        <v>61</v>
      </c>
      <c r="K72" s="32" t="s">
        <v>112</v>
      </c>
      <c r="L72" s="33" t="s">
        <v>113</v>
      </c>
      <c r="M72" s="34">
        <v>18.835311000000001</v>
      </c>
      <c r="N72" s="34">
        <v>-99.187531000000007</v>
      </c>
      <c r="O72" s="28">
        <v>1229</v>
      </c>
      <c r="P72" s="28" t="s">
        <v>13</v>
      </c>
      <c r="Q72" s="28" t="s">
        <v>14</v>
      </c>
      <c r="R72" s="28" t="s">
        <v>328</v>
      </c>
      <c r="S72" s="28" t="s">
        <v>334</v>
      </c>
      <c r="T72" s="28"/>
      <c r="U72" s="28"/>
      <c r="V72" s="28" t="s">
        <v>0</v>
      </c>
      <c r="W72" s="28" t="s">
        <v>0</v>
      </c>
      <c r="X72" s="28">
        <v>36</v>
      </c>
      <c r="Y72" s="28">
        <v>250</v>
      </c>
      <c r="Z72" s="28">
        <v>1.32</v>
      </c>
      <c r="AA72" s="35">
        <f>500/Z72</f>
        <v>378.78787878787875</v>
      </c>
      <c r="AB72" s="28"/>
      <c r="AC72" s="28" t="s">
        <v>471</v>
      </c>
      <c r="AD72" s="2" t="s">
        <v>480</v>
      </c>
    </row>
    <row r="73" spans="1:31">
      <c r="A73" s="22">
        <v>37</v>
      </c>
      <c r="B73" s="22" t="s">
        <v>463</v>
      </c>
      <c r="C73" s="22"/>
      <c r="D73" s="4" t="s">
        <v>20</v>
      </c>
      <c r="E73" s="4">
        <v>1446</v>
      </c>
      <c r="F73" s="5" t="s">
        <v>82</v>
      </c>
      <c r="G73" s="5" t="s">
        <v>82</v>
      </c>
      <c r="I73" s="17" t="s">
        <v>114</v>
      </c>
      <c r="J73" s="4" t="s">
        <v>61</v>
      </c>
      <c r="K73" s="6" t="s">
        <v>116</v>
      </c>
      <c r="L73" s="8" t="s">
        <v>117</v>
      </c>
      <c r="M73" s="7">
        <v>18.93375</v>
      </c>
      <c r="N73" s="7">
        <v>-98.973166666666671</v>
      </c>
      <c r="O73" s="4">
        <v>1526</v>
      </c>
      <c r="P73" s="4" t="s">
        <v>25</v>
      </c>
      <c r="Q73" s="4" t="s">
        <v>25</v>
      </c>
      <c r="R73" s="4" t="s">
        <v>81</v>
      </c>
      <c r="T73" s="22">
        <v>1</v>
      </c>
      <c r="U73" s="11" t="s">
        <v>18</v>
      </c>
      <c r="V73" s="22" t="s">
        <v>473</v>
      </c>
      <c r="W73" s="22" t="s">
        <v>458</v>
      </c>
      <c r="X73" s="22">
        <v>37</v>
      </c>
      <c r="Y73" s="4">
        <v>25</v>
      </c>
      <c r="Z73" s="26">
        <v>92</v>
      </c>
      <c r="AA73" s="24">
        <f>500/Z73</f>
        <v>5.4347826086956523</v>
      </c>
      <c r="AC73" s="4" t="s">
        <v>470</v>
      </c>
      <c r="AD73" s="12" t="s">
        <v>480</v>
      </c>
    </row>
    <row r="74" spans="1:31">
      <c r="A74" s="4">
        <v>37</v>
      </c>
      <c r="D74" s="22" t="s">
        <v>20</v>
      </c>
      <c r="E74" s="22">
        <v>1446</v>
      </c>
      <c r="F74" s="1" t="s">
        <v>82</v>
      </c>
      <c r="G74" s="1" t="s">
        <v>82</v>
      </c>
      <c r="H74" s="19"/>
      <c r="I74" s="17" t="s">
        <v>114</v>
      </c>
      <c r="J74" s="4" t="s">
        <v>61</v>
      </c>
      <c r="K74" s="6" t="s">
        <v>116</v>
      </c>
      <c r="L74" s="8" t="s">
        <v>117</v>
      </c>
      <c r="M74" s="7">
        <v>18.93375</v>
      </c>
      <c r="N74" s="7">
        <v>-98.973166666666671</v>
      </c>
      <c r="O74" s="4">
        <v>1526</v>
      </c>
      <c r="P74" s="4" t="s">
        <v>25</v>
      </c>
      <c r="Q74" s="4" t="s">
        <v>25</v>
      </c>
      <c r="R74" s="22"/>
      <c r="S74" s="22"/>
      <c r="T74" s="22">
        <v>3</v>
      </c>
      <c r="U74" s="22" t="s">
        <v>263</v>
      </c>
      <c r="AC74" s="4" t="s">
        <v>491</v>
      </c>
      <c r="AD74" s="4" t="s">
        <v>481</v>
      </c>
      <c r="AE74" s="56"/>
    </row>
    <row r="75" spans="1:31" ht="15" customHeight="1">
      <c r="A75" s="4">
        <v>38</v>
      </c>
      <c r="B75" s="4" t="s">
        <v>463</v>
      </c>
      <c r="D75" s="4" t="s">
        <v>10</v>
      </c>
      <c r="E75" s="4">
        <v>2915</v>
      </c>
      <c r="F75" s="5" t="s">
        <v>82</v>
      </c>
      <c r="G75" s="5" t="s">
        <v>82</v>
      </c>
      <c r="I75" s="17" t="s">
        <v>114</v>
      </c>
      <c r="J75" s="4" t="s">
        <v>61</v>
      </c>
      <c r="K75" s="6" t="s">
        <v>118</v>
      </c>
      <c r="L75" s="8" t="s">
        <v>119</v>
      </c>
      <c r="M75" s="7">
        <v>18.720638888888899</v>
      </c>
      <c r="N75" s="7">
        <v>-99.357749999999996</v>
      </c>
      <c r="O75" s="4">
        <v>962</v>
      </c>
      <c r="P75" s="4" t="s">
        <v>13</v>
      </c>
      <c r="Q75" s="4" t="s">
        <v>77</v>
      </c>
      <c r="R75" s="4" t="s">
        <v>19</v>
      </c>
      <c r="S75" s="4">
        <v>3.9</v>
      </c>
      <c r="T75" s="22">
        <v>1</v>
      </c>
      <c r="U75" s="22" t="s">
        <v>46</v>
      </c>
      <c r="V75" s="22" t="s">
        <v>473</v>
      </c>
      <c r="W75" s="22" t="s">
        <v>458</v>
      </c>
      <c r="X75" s="22">
        <v>38</v>
      </c>
      <c r="Y75" s="4">
        <v>110</v>
      </c>
      <c r="Z75" s="26">
        <v>110</v>
      </c>
      <c r="AA75" s="24">
        <f>500/Z75</f>
        <v>4.5454545454545459</v>
      </c>
      <c r="AC75" s="22" t="s">
        <v>470</v>
      </c>
      <c r="AD75" s="12" t="s">
        <v>480</v>
      </c>
    </row>
    <row r="76" spans="1:31" ht="15" customHeight="1">
      <c r="A76" s="4">
        <v>38</v>
      </c>
      <c r="B76" s="4" t="s">
        <v>463</v>
      </c>
      <c r="D76" s="22" t="s">
        <v>10</v>
      </c>
      <c r="E76" s="22">
        <v>2916</v>
      </c>
      <c r="F76" s="1" t="s">
        <v>82</v>
      </c>
      <c r="G76" s="1" t="s">
        <v>82</v>
      </c>
      <c r="H76" s="19"/>
      <c r="I76" s="17" t="s">
        <v>114</v>
      </c>
      <c r="J76" s="4" t="s">
        <v>61</v>
      </c>
      <c r="K76" s="6" t="s">
        <v>118</v>
      </c>
      <c r="L76" s="8" t="s">
        <v>119</v>
      </c>
      <c r="M76" s="7">
        <v>18.720638888888899</v>
      </c>
      <c r="N76" s="7">
        <v>-99.357749999999996</v>
      </c>
      <c r="O76" s="4">
        <v>962</v>
      </c>
      <c r="P76" s="4" t="s">
        <v>13</v>
      </c>
      <c r="Q76" s="4" t="s">
        <v>77</v>
      </c>
      <c r="R76" s="22"/>
      <c r="S76" s="22"/>
      <c r="T76" s="22">
        <v>1</v>
      </c>
      <c r="U76" s="22" t="s">
        <v>273</v>
      </c>
      <c r="V76" s="4" t="s">
        <v>473</v>
      </c>
      <c r="W76" s="4" t="s">
        <v>472</v>
      </c>
      <c r="X76" s="4" t="s">
        <v>495</v>
      </c>
      <c r="Y76" s="4">
        <v>99</v>
      </c>
      <c r="Z76" s="26">
        <v>80.2</v>
      </c>
      <c r="AA76" s="25">
        <f>500/Z76</f>
        <v>6.2344139650872812</v>
      </c>
      <c r="AC76" s="22" t="s">
        <v>469</v>
      </c>
      <c r="AD76" s="47" t="s">
        <v>480</v>
      </c>
    </row>
    <row r="77" spans="1:31" s="27" customFormat="1" ht="15" customHeight="1">
      <c r="A77" s="27">
        <v>39</v>
      </c>
      <c r="B77" s="27" t="s">
        <v>463</v>
      </c>
      <c r="D77" s="27" t="s">
        <v>10</v>
      </c>
      <c r="E77" s="27">
        <v>4028</v>
      </c>
      <c r="F77" s="87" t="s">
        <v>82</v>
      </c>
      <c r="G77" s="87" t="s">
        <v>82</v>
      </c>
      <c r="H77" s="88"/>
      <c r="I77" s="89" t="s">
        <v>123</v>
      </c>
      <c r="J77" s="27" t="s">
        <v>61</v>
      </c>
      <c r="K77" s="90" t="s">
        <v>121</v>
      </c>
      <c r="L77" s="91" t="s">
        <v>122</v>
      </c>
      <c r="M77" s="92">
        <v>18.776278000000001</v>
      </c>
      <c r="N77" s="92">
        <v>-98.906166999999996</v>
      </c>
      <c r="O77" s="27">
        <v>1392</v>
      </c>
      <c r="P77" s="27" t="s">
        <v>13</v>
      </c>
      <c r="Q77" s="27" t="s">
        <v>14</v>
      </c>
      <c r="R77" s="27" t="s">
        <v>328</v>
      </c>
      <c r="S77" s="27" t="s">
        <v>335</v>
      </c>
      <c r="T77" s="27">
        <v>2</v>
      </c>
      <c r="U77" s="27" t="s">
        <v>323</v>
      </c>
      <c r="V77" s="27" t="s">
        <v>472</v>
      </c>
      <c r="W77" s="27" t="s">
        <v>0</v>
      </c>
      <c r="X77" s="27">
        <v>39</v>
      </c>
      <c r="Y77" s="27">
        <v>25</v>
      </c>
      <c r="Z77" s="27">
        <v>28</v>
      </c>
      <c r="AA77" s="93">
        <f>500/Z77</f>
        <v>17.857142857142858</v>
      </c>
      <c r="AC77" s="27" t="s">
        <v>469</v>
      </c>
      <c r="AD77" s="94" t="s">
        <v>480</v>
      </c>
    </row>
    <row r="78" spans="1:31">
      <c r="A78" s="4">
        <v>39</v>
      </c>
      <c r="B78" s="4" t="s">
        <v>463</v>
      </c>
      <c r="D78" s="22" t="s">
        <v>10</v>
      </c>
      <c r="E78" s="22">
        <v>4029</v>
      </c>
      <c r="F78" s="1" t="s">
        <v>82</v>
      </c>
      <c r="G78" s="1" t="s">
        <v>82</v>
      </c>
      <c r="H78" s="19"/>
      <c r="I78" s="17" t="s">
        <v>123</v>
      </c>
      <c r="J78" s="4" t="s">
        <v>61</v>
      </c>
      <c r="K78" s="6" t="s">
        <v>121</v>
      </c>
      <c r="L78" s="8" t="s">
        <v>122</v>
      </c>
      <c r="M78" s="7">
        <v>18.776278000000001</v>
      </c>
      <c r="N78" s="7">
        <v>-98.906166999999996</v>
      </c>
      <c r="O78" s="4">
        <v>1392</v>
      </c>
      <c r="P78" s="4" t="s">
        <v>15</v>
      </c>
      <c r="Q78" s="4" t="s">
        <v>14</v>
      </c>
      <c r="R78" s="22"/>
      <c r="S78" s="22"/>
      <c r="T78" s="22">
        <v>1</v>
      </c>
      <c r="U78" s="22" t="s">
        <v>387</v>
      </c>
      <c r="V78" s="4" t="s">
        <v>458</v>
      </c>
      <c r="W78" s="4" t="s">
        <v>472</v>
      </c>
      <c r="X78" s="4" t="s">
        <v>495</v>
      </c>
      <c r="Y78" s="4">
        <v>20</v>
      </c>
      <c r="Z78" s="26">
        <v>45.2</v>
      </c>
      <c r="AA78" s="24">
        <f>500/Z78</f>
        <v>11.061946902654867</v>
      </c>
      <c r="AB78" s="41"/>
      <c r="AC78" s="22" t="s">
        <v>469</v>
      </c>
      <c r="AD78" s="47" t="s">
        <v>480</v>
      </c>
    </row>
    <row r="79" spans="1:31">
      <c r="A79" s="22">
        <v>40</v>
      </c>
      <c r="B79" s="22" t="s">
        <v>463</v>
      </c>
      <c r="C79" s="22"/>
      <c r="D79" s="4" t="s">
        <v>20</v>
      </c>
      <c r="E79" s="4">
        <v>2266</v>
      </c>
      <c r="F79" s="5" t="s">
        <v>82</v>
      </c>
      <c r="G79" s="5" t="s">
        <v>82</v>
      </c>
      <c r="I79" s="17" t="s">
        <v>123</v>
      </c>
      <c r="J79" s="4" t="s">
        <v>61</v>
      </c>
      <c r="K79" s="6" t="s">
        <v>124</v>
      </c>
      <c r="L79" s="8" t="s">
        <v>125</v>
      </c>
      <c r="M79" s="7">
        <v>18.746722222222225</v>
      </c>
      <c r="N79" s="7">
        <v>-98.976333333333329</v>
      </c>
      <c r="O79" s="4">
        <v>1174</v>
      </c>
      <c r="P79" s="4" t="s">
        <v>126</v>
      </c>
      <c r="Q79" s="4" t="s">
        <v>77</v>
      </c>
      <c r="R79" s="4" t="s">
        <v>19</v>
      </c>
      <c r="S79" s="4">
        <v>3.6</v>
      </c>
      <c r="T79" s="22">
        <v>2</v>
      </c>
      <c r="U79" s="22" t="s">
        <v>127</v>
      </c>
      <c r="V79" s="22" t="s">
        <v>473</v>
      </c>
      <c r="W79" s="22" t="s">
        <v>0</v>
      </c>
      <c r="X79" s="22">
        <v>40</v>
      </c>
      <c r="Y79" s="4">
        <v>100</v>
      </c>
      <c r="Z79" s="26">
        <v>35</v>
      </c>
      <c r="AA79" s="24">
        <f>500/Z79</f>
        <v>14.285714285714286</v>
      </c>
      <c r="AC79" s="4" t="s">
        <v>469</v>
      </c>
      <c r="AD79" s="12" t="s">
        <v>480</v>
      </c>
    </row>
    <row r="80" spans="1:31">
      <c r="A80" s="4">
        <v>40</v>
      </c>
      <c r="D80" s="22" t="s">
        <v>20</v>
      </c>
      <c r="E80" s="22">
        <v>2266</v>
      </c>
      <c r="F80" s="1" t="s">
        <v>82</v>
      </c>
      <c r="G80" s="1" t="s">
        <v>82</v>
      </c>
      <c r="H80" s="19"/>
      <c r="I80" s="17" t="s">
        <v>123</v>
      </c>
      <c r="J80" s="4" t="s">
        <v>61</v>
      </c>
      <c r="K80" s="6" t="s">
        <v>124</v>
      </c>
      <c r="L80" s="8" t="s">
        <v>125</v>
      </c>
      <c r="M80" s="7">
        <v>18.746722222222225</v>
      </c>
      <c r="N80" s="7">
        <v>-98.976333333333329</v>
      </c>
      <c r="O80" s="4">
        <v>1174</v>
      </c>
      <c r="P80" s="4" t="s">
        <v>126</v>
      </c>
      <c r="Q80" s="4" t="s">
        <v>77</v>
      </c>
      <c r="R80" s="22"/>
      <c r="S80" s="22"/>
      <c r="T80" s="22">
        <v>3</v>
      </c>
      <c r="U80" s="22" t="s">
        <v>368</v>
      </c>
      <c r="AC80" s="4" t="s">
        <v>491</v>
      </c>
      <c r="AD80" s="4" t="s">
        <v>481</v>
      </c>
    </row>
    <row r="81" spans="1:31" ht="15" customHeight="1">
      <c r="A81" s="22">
        <v>41</v>
      </c>
      <c r="B81" s="22" t="s">
        <v>463</v>
      </c>
      <c r="C81" s="22"/>
      <c r="D81" s="22" t="s">
        <v>20</v>
      </c>
      <c r="E81" s="22">
        <v>1477</v>
      </c>
      <c r="F81" s="1" t="s">
        <v>82</v>
      </c>
      <c r="G81" s="1" t="s">
        <v>82</v>
      </c>
      <c r="H81" s="19"/>
      <c r="I81" s="16" t="s">
        <v>123</v>
      </c>
      <c r="J81" s="22" t="s">
        <v>28</v>
      </c>
      <c r="K81" s="2" t="s">
        <v>128</v>
      </c>
      <c r="L81" s="3" t="s">
        <v>129</v>
      </c>
      <c r="M81" s="9">
        <v>18.28616666666667</v>
      </c>
      <c r="N81" s="9">
        <v>-98.966138888888892</v>
      </c>
      <c r="O81" s="22">
        <v>900</v>
      </c>
      <c r="P81" s="22" t="s">
        <v>15</v>
      </c>
      <c r="Q81" s="22" t="s">
        <v>14</v>
      </c>
      <c r="R81" s="22" t="s">
        <v>19</v>
      </c>
      <c r="S81" s="22">
        <v>3.3</v>
      </c>
      <c r="T81" s="22">
        <v>1</v>
      </c>
      <c r="U81" s="22" t="s">
        <v>366</v>
      </c>
      <c r="V81" s="22" t="s">
        <v>473</v>
      </c>
      <c r="W81" s="22" t="s">
        <v>458</v>
      </c>
      <c r="X81" s="22">
        <v>41</v>
      </c>
      <c r="Y81" s="22">
        <v>75</v>
      </c>
      <c r="Z81" s="26">
        <v>85.2</v>
      </c>
      <c r="AA81" s="24">
        <f>500/Z81</f>
        <v>5.868544600938967</v>
      </c>
      <c r="AB81" s="22"/>
      <c r="AC81" s="22" t="s">
        <v>470</v>
      </c>
      <c r="AD81" s="12" t="s">
        <v>480</v>
      </c>
    </row>
    <row r="82" spans="1:31">
      <c r="A82" s="4">
        <v>41</v>
      </c>
      <c r="D82" s="22" t="s">
        <v>20</v>
      </c>
      <c r="E82" s="22">
        <v>1477</v>
      </c>
      <c r="F82" s="1" t="s">
        <v>82</v>
      </c>
      <c r="G82" s="1" t="s">
        <v>82</v>
      </c>
      <c r="H82" s="19"/>
      <c r="I82" s="17" t="s">
        <v>123</v>
      </c>
      <c r="J82" s="4" t="s">
        <v>28</v>
      </c>
      <c r="K82" s="6" t="s">
        <v>128</v>
      </c>
      <c r="L82" s="8" t="s">
        <v>129</v>
      </c>
      <c r="M82" s="7">
        <v>18.28616666666667</v>
      </c>
      <c r="N82" s="7">
        <v>-98.966138888888892</v>
      </c>
      <c r="O82" s="4">
        <v>900</v>
      </c>
      <c r="P82" s="4" t="s">
        <v>15</v>
      </c>
      <c r="Q82" s="4" t="s">
        <v>14</v>
      </c>
      <c r="R82" s="22"/>
      <c r="S82" s="22"/>
      <c r="T82" s="22">
        <v>3</v>
      </c>
      <c r="U82" s="22" t="s">
        <v>273</v>
      </c>
      <c r="AC82" s="4" t="s">
        <v>491</v>
      </c>
      <c r="AD82" s="4" t="s">
        <v>481</v>
      </c>
    </row>
    <row r="83" spans="1:31">
      <c r="A83" s="4">
        <v>42</v>
      </c>
      <c r="B83" s="4" t="s">
        <v>463</v>
      </c>
      <c r="D83" s="4" t="s">
        <v>133</v>
      </c>
      <c r="E83" s="4">
        <v>77</v>
      </c>
      <c r="F83" s="5" t="s">
        <v>82</v>
      </c>
      <c r="G83" s="5" t="s">
        <v>82</v>
      </c>
      <c r="I83" s="17" t="s">
        <v>90</v>
      </c>
      <c r="J83" s="4" t="s">
        <v>57</v>
      </c>
      <c r="K83" s="6" t="s">
        <v>131</v>
      </c>
      <c r="L83" s="8" t="s">
        <v>132</v>
      </c>
      <c r="M83" s="7">
        <v>17.569944444444399</v>
      </c>
      <c r="N83" s="7">
        <v>-99.60733333333333</v>
      </c>
      <c r="O83" s="4">
        <v>1826</v>
      </c>
      <c r="P83" s="4" t="s">
        <v>13</v>
      </c>
      <c r="Q83" s="4" t="s">
        <v>45</v>
      </c>
      <c r="R83" s="4" t="s">
        <v>19</v>
      </c>
      <c r="S83" s="4">
        <v>15.5</v>
      </c>
      <c r="T83" s="22">
        <v>2</v>
      </c>
      <c r="U83" s="22" t="s">
        <v>297</v>
      </c>
      <c r="V83" s="4" t="s">
        <v>472</v>
      </c>
      <c r="W83" s="4" t="s">
        <v>472</v>
      </c>
      <c r="X83" s="22">
        <v>42</v>
      </c>
      <c r="Y83" s="4">
        <v>20</v>
      </c>
      <c r="Z83" s="26">
        <v>41.2</v>
      </c>
      <c r="AA83" s="24">
        <f>500/Z83</f>
        <v>12.135922330097086</v>
      </c>
      <c r="AC83" s="22" t="s">
        <v>469</v>
      </c>
      <c r="AD83" s="12" t="s">
        <v>480</v>
      </c>
    </row>
    <row r="84" spans="1:31" s="43" customFormat="1">
      <c r="A84" s="43">
        <v>42</v>
      </c>
      <c r="D84" s="43" t="s">
        <v>133</v>
      </c>
      <c r="E84" s="43">
        <v>76</v>
      </c>
      <c r="F84" s="72" t="s">
        <v>82</v>
      </c>
      <c r="G84" s="72" t="s">
        <v>82</v>
      </c>
      <c r="H84" s="73"/>
      <c r="I84" s="74" t="s">
        <v>90</v>
      </c>
      <c r="J84" s="43" t="s">
        <v>57</v>
      </c>
      <c r="K84" s="36" t="s">
        <v>131</v>
      </c>
      <c r="L84" s="75" t="s">
        <v>322</v>
      </c>
      <c r="M84" s="76">
        <v>17.563694444444401</v>
      </c>
      <c r="N84" s="76">
        <v>-99.55072222222222</v>
      </c>
      <c r="O84" s="43">
        <v>1581</v>
      </c>
      <c r="P84" s="43" t="s">
        <v>15</v>
      </c>
      <c r="Q84" s="43" t="s">
        <v>14</v>
      </c>
      <c r="T84" s="43">
        <v>3</v>
      </c>
      <c r="U84" s="43" t="s">
        <v>149</v>
      </c>
      <c r="AA84" s="77"/>
      <c r="AD84" s="43" t="s">
        <v>481</v>
      </c>
    </row>
    <row r="85" spans="1:31">
      <c r="A85" s="22">
        <v>43</v>
      </c>
      <c r="B85" s="22" t="s">
        <v>463</v>
      </c>
      <c r="C85" s="22"/>
      <c r="D85" s="4" t="s">
        <v>10</v>
      </c>
      <c r="E85" s="4">
        <v>864</v>
      </c>
      <c r="F85" s="1" t="s">
        <v>82</v>
      </c>
      <c r="G85" s="1" t="s">
        <v>82</v>
      </c>
      <c r="I85" s="17" t="s">
        <v>90</v>
      </c>
      <c r="J85" s="4" t="s">
        <v>57</v>
      </c>
      <c r="K85" s="6" t="s">
        <v>134</v>
      </c>
      <c r="L85" s="8" t="s">
        <v>135</v>
      </c>
      <c r="M85" s="7">
        <v>18.042549999999999</v>
      </c>
      <c r="N85" s="7">
        <v>-99.261966999999999</v>
      </c>
      <c r="O85" s="4">
        <v>1200</v>
      </c>
      <c r="Q85" s="4" t="s">
        <v>16</v>
      </c>
      <c r="R85" s="4" t="s">
        <v>19</v>
      </c>
      <c r="S85" s="4">
        <v>5.1100000000000003</v>
      </c>
      <c r="T85" s="22">
        <v>1</v>
      </c>
      <c r="U85" s="22" t="s">
        <v>175</v>
      </c>
      <c r="V85" s="4" t="s">
        <v>0</v>
      </c>
      <c r="W85" s="4" t="s">
        <v>472</v>
      </c>
      <c r="X85" s="22">
        <v>43</v>
      </c>
      <c r="Y85" s="22">
        <v>19</v>
      </c>
      <c r="Z85" s="26">
        <v>51</v>
      </c>
      <c r="AA85" s="24">
        <f>500/Z85</f>
        <v>9.8039215686274517</v>
      </c>
      <c r="AB85" s="22"/>
      <c r="AC85" s="22" t="s">
        <v>470</v>
      </c>
      <c r="AD85" s="12" t="s">
        <v>480</v>
      </c>
    </row>
    <row r="86" spans="1:31" s="22" customFormat="1">
      <c r="A86" s="4">
        <v>43</v>
      </c>
      <c r="B86" s="4" t="s">
        <v>463</v>
      </c>
      <c r="C86" s="4"/>
      <c r="D86" s="22" t="s">
        <v>10</v>
      </c>
      <c r="E86" s="22">
        <v>865</v>
      </c>
      <c r="F86" s="1" t="s">
        <v>82</v>
      </c>
      <c r="G86" s="1" t="s">
        <v>82</v>
      </c>
      <c r="H86" s="19"/>
      <c r="I86" s="17" t="s">
        <v>90</v>
      </c>
      <c r="J86" s="4" t="s">
        <v>57</v>
      </c>
      <c r="K86" s="6" t="s">
        <v>134</v>
      </c>
      <c r="L86" s="8" t="s">
        <v>135</v>
      </c>
      <c r="M86" s="7">
        <v>18.042549999999999</v>
      </c>
      <c r="N86" s="7">
        <v>-99.261966999999999</v>
      </c>
      <c r="O86" s="4">
        <v>1200</v>
      </c>
      <c r="P86" s="4" t="s">
        <v>25</v>
      </c>
      <c r="Q86" s="4"/>
      <c r="T86" s="22">
        <v>1</v>
      </c>
      <c r="U86" s="22" t="s">
        <v>279</v>
      </c>
      <c r="V86" s="4" t="s">
        <v>473</v>
      </c>
      <c r="W86" s="4" t="s">
        <v>458</v>
      </c>
      <c r="X86" s="4" t="s">
        <v>489</v>
      </c>
      <c r="Y86" s="4">
        <v>98</v>
      </c>
      <c r="Z86" s="26">
        <v>71.2</v>
      </c>
      <c r="AA86" s="25">
        <f>500/Z86</f>
        <v>7.0224719101123592</v>
      </c>
      <c r="AB86" s="4"/>
      <c r="AC86" s="22" t="s">
        <v>470</v>
      </c>
      <c r="AD86" s="47" t="s">
        <v>480</v>
      </c>
      <c r="AE86" s="4"/>
    </row>
    <row r="87" spans="1:31">
      <c r="A87" s="4">
        <v>44</v>
      </c>
      <c r="B87" s="4" t="s">
        <v>463</v>
      </c>
      <c r="D87" s="22" t="s">
        <v>10</v>
      </c>
      <c r="E87" s="22">
        <v>3342</v>
      </c>
      <c r="F87" s="1" t="s">
        <v>82</v>
      </c>
      <c r="G87" s="1" t="s">
        <v>82</v>
      </c>
      <c r="H87" s="19"/>
      <c r="I87" s="17" t="s">
        <v>90</v>
      </c>
      <c r="J87" s="4" t="s">
        <v>57</v>
      </c>
      <c r="K87" s="6" t="s">
        <v>58</v>
      </c>
      <c r="L87" s="8" t="s">
        <v>136</v>
      </c>
      <c r="M87" s="7">
        <v>17.874806</v>
      </c>
      <c r="N87" s="7">
        <v>-99.589444</v>
      </c>
      <c r="O87" s="4">
        <v>687</v>
      </c>
      <c r="P87" s="4" t="s">
        <v>13</v>
      </c>
      <c r="Q87" s="4" t="s">
        <v>14</v>
      </c>
      <c r="R87" s="22"/>
      <c r="S87" s="22"/>
      <c r="T87" s="22">
        <v>2</v>
      </c>
      <c r="U87" s="22" t="s">
        <v>376</v>
      </c>
      <c r="V87" s="4" t="s">
        <v>458</v>
      </c>
      <c r="W87" s="4" t="s">
        <v>472</v>
      </c>
      <c r="X87" s="4" t="s">
        <v>495</v>
      </c>
      <c r="Y87" s="4">
        <v>20</v>
      </c>
      <c r="Z87" s="26">
        <v>37.4</v>
      </c>
      <c r="AA87" s="25">
        <f>500/Z87</f>
        <v>13.368983957219251</v>
      </c>
      <c r="AC87" s="22" t="s">
        <v>469</v>
      </c>
      <c r="AD87" s="47" t="s">
        <v>480</v>
      </c>
    </row>
    <row r="88" spans="1:31">
      <c r="A88" s="4">
        <v>44</v>
      </c>
      <c r="B88" s="4" t="s">
        <v>463</v>
      </c>
      <c r="D88" s="4" t="s">
        <v>20</v>
      </c>
      <c r="E88" s="4">
        <v>1484</v>
      </c>
      <c r="F88" s="5" t="s">
        <v>82</v>
      </c>
      <c r="G88" s="5" t="s">
        <v>82</v>
      </c>
      <c r="I88" s="17" t="s">
        <v>90</v>
      </c>
      <c r="J88" s="4" t="s">
        <v>57</v>
      </c>
      <c r="K88" s="6" t="s">
        <v>58</v>
      </c>
      <c r="L88" s="8" t="s">
        <v>59</v>
      </c>
      <c r="M88" s="7">
        <v>17.923749999999998</v>
      </c>
      <c r="N88" s="7">
        <v>-99.616</v>
      </c>
      <c r="O88" s="4">
        <v>528</v>
      </c>
      <c r="P88" s="4" t="s">
        <v>25</v>
      </c>
      <c r="R88" s="4" t="s">
        <v>81</v>
      </c>
      <c r="T88" s="22">
        <v>1</v>
      </c>
      <c r="U88" s="22" t="s">
        <v>297</v>
      </c>
      <c r="V88" s="22" t="s">
        <v>473</v>
      </c>
      <c r="W88" s="22" t="s">
        <v>473</v>
      </c>
      <c r="X88" s="22">
        <v>44</v>
      </c>
      <c r="Y88" s="4">
        <v>80</v>
      </c>
      <c r="Z88" s="26">
        <v>112</v>
      </c>
      <c r="AA88" s="24">
        <f>500/Z88</f>
        <v>4.4642857142857144</v>
      </c>
      <c r="AC88" s="22" t="s">
        <v>470</v>
      </c>
      <c r="AD88" s="12" t="s">
        <v>480</v>
      </c>
    </row>
    <row r="89" spans="1:31">
      <c r="A89" s="4">
        <v>45</v>
      </c>
      <c r="B89" s="4" t="s">
        <v>463</v>
      </c>
      <c r="D89" s="4" t="s">
        <v>54</v>
      </c>
      <c r="E89" s="4">
        <v>609</v>
      </c>
      <c r="F89" s="5" t="s">
        <v>142</v>
      </c>
      <c r="G89" s="5" t="s">
        <v>142</v>
      </c>
      <c r="J89" s="4" t="s">
        <v>12</v>
      </c>
      <c r="K89" s="6" t="s">
        <v>140</v>
      </c>
      <c r="L89" s="8" t="s">
        <v>141</v>
      </c>
      <c r="M89" s="7">
        <v>18.979939999999999</v>
      </c>
      <c r="N89" s="7">
        <v>-102.14849</v>
      </c>
      <c r="O89" s="4">
        <v>347</v>
      </c>
      <c r="P89" s="4" t="s">
        <v>13</v>
      </c>
      <c r="Q89" s="4" t="s">
        <v>14</v>
      </c>
      <c r="R89" s="4" t="s">
        <v>19</v>
      </c>
      <c r="S89" s="4">
        <v>6.6</v>
      </c>
      <c r="T89" s="22">
        <v>2</v>
      </c>
      <c r="U89" s="22" t="s">
        <v>377</v>
      </c>
      <c r="V89" s="22" t="s">
        <v>458</v>
      </c>
      <c r="W89" s="22" t="s">
        <v>472</v>
      </c>
      <c r="X89" s="22">
        <v>45</v>
      </c>
      <c r="Y89" s="4">
        <v>150</v>
      </c>
      <c r="Z89" s="26">
        <v>23.6</v>
      </c>
      <c r="AA89" s="24">
        <f>500/Z89</f>
        <v>21.1864406779661</v>
      </c>
      <c r="AC89" s="4" t="s">
        <v>470</v>
      </c>
      <c r="AD89" s="12" t="s">
        <v>480</v>
      </c>
    </row>
    <row r="90" spans="1:31">
      <c r="A90" s="22">
        <v>45</v>
      </c>
      <c r="B90" s="22"/>
      <c r="C90" s="22"/>
      <c r="D90" s="22" t="s">
        <v>54</v>
      </c>
      <c r="E90" s="22">
        <v>609</v>
      </c>
      <c r="F90" s="1" t="s">
        <v>142</v>
      </c>
      <c r="G90" s="1" t="s">
        <v>142</v>
      </c>
      <c r="H90" s="19"/>
      <c r="J90" s="4" t="s">
        <v>12</v>
      </c>
      <c r="K90" s="6" t="s">
        <v>140</v>
      </c>
      <c r="L90" s="8" t="s">
        <v>141</v>
      </c>
      <c r="M90" s="7">
        <v>18.979939999999999</v>
      </c>
      <c r="N90" s="7">
        <v>-102.14849</v>
      </c>
      <c r="O90" s="4">
        <v>347</v>
      </c>
      <c r="P90" s="4" t="s">
        <v>13</v>
      </c>
      <c r="Q90" s="4" t="s">
        <v>14</v>
      </c>
      <c r="R90" s="22"/>
      <c r="S90" s="22"/>
      <c r="T90" s="22">
        <v>3</v>
      </c>
      <c r="U90" s="22" t="s">
        <v>323</v>
      </c>
      <c r="AC90" s="4" t="s">
        <v>491</v>
      </c>
      <c r="AD90" s="4" t="s">
        <v>481</v>
      </c>
    </row>
    <row r="91" spans="1:31">
      <c r="A91" s="28">
        <v>46</v>
      </c>
      <c r="B91" s="28"/>
      <c r="C91" s="28"/>
      <c r="D91" s="28" t="s">
        <v>248</v>
      </c>
      <c r="E91" s="28">
        <v>30458</v>
      </c>
      <c r="F91" s="29" t="s">
        <v>142</v>
      </c>
      <c r="G91" s="29" t="s">
        <v>142</v>
      </c>
      <c r="H91" s="30" t="s">
        <v>463</v>
      </c>
      <c r="I91" s="31"/>
      <c r="J91" s="28" t="s">
        <v>146</v>
      </c>
      <c r="K91" s="33" t="s">
        <v>249</v>
      </c>
      <c r="L91" s="33" t="s">
        <v>249</v>
      </c>
      <c r="M91" s="34">
        <v>19.32095</v>
      </c>
      <c r="N91" s="34">
        <v>-103.75861</v>
      </c>
      <c r="O91" s="28">
        <v>599</v>
      </c>
      <c r="P91" s="28" t="s">
        <v>25</v>
      </c>
      <c r="Q91" s="28"/>
      <c r="R91" s="28" t="s">
        <v>375</v>
      </c>
      <c r="S91" s="28"/>
      <c r="T91" s="28"/>
      <c r="U91" s="28"/>
      <c r="V91" s="28" t="s">
        <v>0</v>
      </c>
      <c r="W91" s="28" t="s">
        <v>0</v>
      </c>
      <c r="X91" s="28">
        <v>46</v>
      </c>
      <c r="Y91" s="28">
        <v>250</v>
      </c>
      <c r="Z91" s="28" t="s">
        <v>451</v>
      </c>
      <c r="AA91" s="35"/>
      <c r="AB91" s="28"/>
      <c r="AC91" s="28" t="s">
        <v>471</v>
      </c>
      <c r="AD91" s="2" t="s">
        <v>480</v>
      </c>
      <c r="AE91" s="2"/>
    </row>
    <row r="92" spans="1:31" s="43" customFormat="1">
      <c r="A92" s="43">
        <v>46</v>
      </c>
      <c r="D92" s="43" t="s">
        <v>248</v>
      </c>
      <c r="E92" s="43">
        <v>30458</v>
      </c>
      <c r="F92" s="72" t="s">
        <v>142</v>
      </c>
      <c r="G92" s="72" t="s">
        <v>142</v>
      </c>
      <c r="H92" s="73" t="s">
        <v>463</v>
      </c>
      <c r="I92" s="74"/>
      <c r="J92" s="43" t="s">
        <v>146</v>
      </c>
      <c r="K92" s="75" t="s">
        <v>249</v>
      </c>
      <c r="L92" s="75" t="s">
        <v>249</v>
      </c>
      <c r="M92" s="76">
        <v>19.32095</v>
      </c>
      <c r="N92" s="76">
        <v>-103.75861</v>
      </c>
      <c r="O92" s="43">
        <v>599</v>
      </c>
      <c r="P92" s="43" t="s">
        <v>25</v>
      </c>
      <c r="T92" s="43">
        <v>3</v>
      </c>
      <c r="U92" s="43" t="s">
        <v>120</v>
      </c>
      <c r="AA92" s="77"/>
      <c r="AD92" s="43" t="s">
        <v>481</v>
      </c>
    </row>
    <row r="93" spans="1:31">
      <c r="A93" s="4">
        <v>47</v>
      </c>
      <c r="B93" s="4" t="s">
        <v>463</v>
      </c>
      <c r="D93" s="4" t="s">
        <v>54</v>
      </c>
      <c r="E93" s="4">
        <v>636</v>
      </c>
      <c r="F93" s="5" t="s">
        <v>142</v>
      </c>
      <c r="G93" s="5" t="s">
        <v>142</v>
      </c>
      <c r="J93" s="4" t="s">
        <v>146</v>
      </c>
      <c r="K93" s="6" t="s">
        <v>147</v>
      </c>
      <c r="L93" s="8" t="s">
        <v>148</v>
      </c>
      <c r="M93" s="7">
        <v>19.124970000000001</v>
      </c>
      <c r="N93" s="7">
        <v>-104.40788999999999</v>
      </c>
      <c r="O93" s="4">
        <v>3</v>
      </c>
      <c r="P93" s="4" t="s">
        <v>13</v>
      </c>
      <c r="Q93" s="4" t="s">
        <v>14</v>
      </c>
      <c r="R93" s="4" t="s">
        <v>19</v>
      </c>
      <c r="S93" s="4">
        <v>4.5999999999999996</v>
      </c>
      <c r="T93" s="22">
        <v>1</v>
      </c>
      <c r="U93" s="22" t="s">
        <v>346</v>
      </c>
      <c r="V93" s="22" t="s">
        <v>473</v>
      </c>
      <c r="W93" s="22" t="s">
        <v>458</v>
      </c>
      <c r="X93" s="22">
        <v>47</v>
      </c>
      <c r="Y93" s="4">
        <v>120</v>
      </c>
      <c r="Z93" s="26">
        <v>99</v>
      </c>
      <c r="AA93" s="24">
        <f>500/Z93</f>
        <v>5.0505050505050502</v>
      </c>
      <c r="AC93" s="4" t="s">
        <v>470</v>
      </c>
      <c r="AD93" s="12" t="s">
        <v>480</v>
      </c>
    </row>
    <row r="94" spans="1:31" s="43" customFormat="1">
      <c r="A94" s="43">
        <v>47</v>
      </c>
      <c r="D94" s="43" t="s">
        <v>54</v>
      </c>
      <c r="E94" s="43">
        <v>637</v>
      </c>
      <c r="F94" s="72" t="s">
        <v>142</v>
      </c>
      <c r="G94" s="72" t="s">
        <v>142</v>
      </c>
      <c r="H94" s="73"/>
      <c r="I94" s="74"/>
      <c r="J94" s="43" t="s">
        <v>146</v>
      </c>
      <c r="K94" s="36" t="s">
        <v>147</v>
      </c>
      <c r="L94" s="75" t="s">
        <v>148</v>
      </c>
      <c r="M94" s="76">
        <v>19.124970000000001</v>
      </c>
      <c r="N94" s="76">
        <v>-104.40788999999999</v>
      </c>
      <c r="O94" s="43">
        <v>3</v>
      </c>
      <c r="P94" s="43" t="s">
        <v>15</v>
      </c>
      <c r="Q94" s="43" t="s">
        <v>14</v>
      </c>
      <c r="T94" s="43">
        <v>3</v>
      </c>
      <c r="U94" s="43" t="s">
        <v>238</v>
      </c>
      <c r="AA94" s="77"/>
      <c r="AC94" s="43" t="s">
        <v>491</v>
      </c>
      <c r="AD94" s="43" t="s">
        <v>481</v>
      </c>
    </row>
    <row r="95" spans="1:31" s="27" customFormat="1">
      <c r="A95" s="27">
        <v>48</v>
      </c>
      <c r="B95" s="27" t="s">
        <v>463</v>
      </c>
      <c r="D95" s="27" t="s">
        <v>248</v>
      </c>
      <c r="E95" s="27">
        <v>24111</v>
      </c>
      <c r="F95" s="87" t="s">
        <v>142</v>
      </c>
      <c r="G95" s="87" t="s">
        <v>142</v>
      </c>
      <c r="H95" s="88"/>
      <c r="I95" s="89"/>
      <c r="J95" s="27" t="s">
        <v>158</v>
      </c>
      <c r="K95" s="90" t="s">
        <v>250</v>
      </c>
      <c r="L95" s="91" t="s">
        <v>251</v>
      </c>
      <c r="M95" s="92">
        <v>19.24372</v>
      </c>
      <c r="N95" s="92">
        <v>-102.86725</v>
      </c>
      <c r="O95" s="27">
        <v>479</v>
      </c>
      <c r="P95" s="27" t="s">
        <v>13</v>
      </c>
      <c r="Q95" s="27" t="s">
        <v>14</v>
      </c>
      <c r="R95" s="27" t="s">
        <v>51</v>
      </c>
      <c r="S95" s="27" t="s">
        <v>252</v>
      </c>
      <c r="T95" s="27">
        <v>1</v>
      </c>
      <c r="U95" s="27" t="s">
        <v>41</v>
      </c>
      <c r="V95" s="27" t="s">
        <v>458</v>
      </c>
      <c r="W95" s="27" t="s">
        <v>458</v>
      </c>
      <c r="X95" s="27">
        <v>48</v>
      </c>
      <c r="Y95" s="27">
        <v>200</v>
      </c>
      <c r="Z95" s="27">
        <v>54.6</v>
      </c>
      <c r="AA95" s="93">
        <f>500/Z95</f>
        <v>9.1575091575091569</v>
      </c>
      <c r="AC95" s="27" t="s">
        <v>470</v>
      </c>
      <c r="AD95" s="94" t="s">
        <v>480</v>
      </c>
    </row>
    <row r="96" spans="1:31" s="43" customFormat="1">
      <c r="A96" s="43">
        <v>48</v>
      </c>
      <c r="D96" s="43" t="s">
        <v>248</v>
      </c>
      <c r="E96" s="43">
        <v>24111</v>
      </c>
      <c r="F96" s="72" t="s">
        <v>142</v>
      </c>
      <c r="G96" s="72" t="s">
        <v>142</v>
      </c>
      <c r="H96" s="73"/>
      <c r="I96" s="74"/>
      <c r="J96" s="43" t="s">
        <v>158</v>
      </c>
      <c r="K96" s="36" t="s">
        <v>250</v>
      </c>
      <c r="L96" s="75" t="s">
        <v>251</v>
      </c>
      <c r="M96" s="76">
        <v>19.24372</v>
      </c>
      <c r="N96" s="76">
        <v>-102.86725</v>
      </c>
      <c r="O96" s="43">
        <v>479</v>
      </c>
      <c r="P96" s="43" t="s">
        <v>13</v>
      </c>
      <c r="Q96" s="43" t="s">
        <v>14</v>
      </c>
      <c r="T96" s="43">
        <v>3</v>
      </c>
      <c r="U96" s="43" t="s">
        <v>115</v>
      </c>
      <c r="AA96" s="77"/>
      <c r="AC96" s="43" t="s">
        <v>491</v>
      </c>
      <c r="AD96" s="43" t="s">
        <v>481</v>
      </c>
    </row>
    <row r="97" spans="1:31">
      <c r="A97" s="22">
        <v>49</v>
      </c>
      <c r="B97" s="22" t="s">
        <v>463</v>
      </c>
      <c r="C97" s="22"/>
      <c r="D97" s="4" t="s">
        <v>10</v>
      </c>
      <c r="E97" s="4">
        <v>3076</v>
      </c>
      <c r="F97" s="17" t="s">
        <v>484</v>
      </c>
      <c r="G97" s="6"/>
      <c r="H97" s="20"/>
      <c r="I97" s="17" t="s">
        <v>484</v>
      </c>
      <c r="J97" s="4" t="s">
        <v>12</v>
      </c>
      <c r="K97" s="6" t="s">
        <v>151</v>
      </c>
      <c r="L97" s="8" t="s">
        <v>152</v>
      </c>
      <c r="M97" s="7">
        <v>19.393083333333301</v>
      </c>
      <c r="N97" s="7">
        <v>-101.92144444444445</v>
      </c>
      <c r="O97" s="4">
        <v>1270</v>
      </c>
      <c r="P97" s="4" t="s">
        <v>13</v>
      </c>
      <c r="Q97" s="4" t="s">
        <v>14</v>
      </c>
      <c r="R97" s="4" t="s">
        <v>19</v>
      </c>
      <c r="S97" s="4">
        <v>3.11</v>
      </c>
      <c r="T97" s="22">
        <v>1</v>
      </c>
      <c r="U97" s="22" t="s">
        <v>120</v>
      </c>
      <c r="V97" s="22" t="s">
        <v>473</v>
      </c>
      <c r="W97" s="22" t="s">
        <v>458</v>
      </c>
      <c r="X97" s="22">
        <v>49</v>
      </c>
      <c r="Y97" s="4">
        <v>80</v>
      </c>
      <c r="Z97" s="26">
        <v>79</v>
      </c>
      <c r="AA97" s="24">
        <f>500/Z97</f>
        <v>6.3291139240506329</v>
      </c>
      <c r="AC97" s="22" t="s">
        <v>470</v>
      </c>
      <c r="AD97" s="12" t="s">
        <v>480</v>
      </c>
    </row>
    <row r="98" spans="1:31">
      <c r="A98" s="4">
        <v>49</v>
      </c>
      <c r="D98" s="4" t="s">
        <v>10</v>
      </c>
      <c r="E98" s="4">
        <v>3076</v>
      </c>
      <c r="F98" s="17" t="s">
        <v>484</v>
      </c>
      <c r="G98" s="6"/>
      <c r="H98" s="20"/>
      <c r="I98" s="17" t="s">
        <v>484</v>
      </c>
      <c r="J98" s="4" t="s">
        <v>12</v>
      </c>
      <c r="K98" s="6" t="s">
        <v>151</v>
      </c>
      <c r="L98" s="8" t="s">
        <v>152</v>
      </c>
      <c r="M98" s="7">
        <v>19.393083333333301</v>
      </c>
      <c r="N98" s="7">
        <v>-101.92144444444445</v>
      </c>
      <c r="O98" s="4">
        <v>1270</v>
      </c>
      <c r="P98" s="4" t="s">
        <v>13</v>
      </c>
      <c r="Q98" s="4" t="s">
        <v>14</v>
      </c>
      <c r="R98" s="22"/>
      <c r="S98" s="22"/>
      <c r="T98" s="22">
        <v>3</v>
      </c>
      <c r="U98" s="22" t="s">
        <v>100</v>
      </c>
      <c r="AC98" s="4" t="s">
        <v>491</v>
      </c>
      <c r="AD98" s="4" t="s">
        <v>481</v>
      </c>
    </row>
    <row r="99" spans="1:31">
      <c r="A99" s="4">
        <v>50</v>
      </c>
      <c r="B99" s="4" t="s">
        <v>463</v>
      </c>
      <c r="D99" s="4" t="s">
        <v>10</v>
      </c>
      <c r="E99" s="4">
        <v>3078</v>
      </c>
      <c r="F99" s="17" t="s">
        <v>484</v>
      </c>
      <c r="G99" s="6"/>
      <c r="H99" s="20"/>
      <c r="I99" s="17" t="s">
        <v>484</v>
      </c>
      <c r="J99" s="4" t="s">
        <v>12</v>
      </c>
      <c r="K99" s="6" t="s">
        <v>151</v>
      </c>
      <c r="L99" s="8" t="s">
        <v>152</v>
      </c>
      <c r="M99" s="7">
        <v>19.393083333333301</v>
      </c>
      <c r="N99" s="7">
        <v>-101.92144444444445</v>
      </c>
      <c r="O99" s="4">
        <v>1270</v>
      </c>
      <c r="P99" s="4" t="s">
        <v>15</v>
      </c>
      <c r="Q99" s="4" t="s">
        <v>14</v>
      </c>
      <c r="R99" s="4" t="s">
        <v>253</v>
      </c>
      <c r="T99" s="22">
        <v>1</v>
      </c>
      <c r="U99" s="22" t="s">
        <v>378</v>
      </c>
      <c r="V99" s="22" t="s">
        <v>458</v>
      </c>
      <c r="W99" s="22" t="s">
        <v>458</v>
      </c>
      <c r="X99" s="22">
        <v>50</v>
      </c>
      <c r="Y99" s="4">
        <v>50</v>
      </c>
      <c r="Z99" s="26">
        <v>67.599999999999994</v>
      </c>
      <c r="AA99" s="24">
        <f>500/Z99</f>
        <v>7.3964497041420127</v>
      </c>
      <c r="AC99" s="22" t="s">
        <v>470</v>
      </c>
      <c r="AD99" s="12" t="s">
        <v>480</v>
      </c>
    </row>
    <row r="100" spans="1:31">
      <c r="A100" s="4">
        <v>50</v>
      </c>
      <c r="D100" s="4" t="s">
        <v>10</v>
      </c>
      <c r="E100" s="4">
        <v>3078</v>
      </c>
      <c r="F100" s="17" t="s">
        <v>484</v>
      </c>
      <c r="G100" s="6"/>
      <c r="H100" s="20"/>
      <c r="I100" s="17" t="s">
        <v>484</v>
      </c>
      <c r="J100" s="4" t="s">
        <v>12</v>
      </c>
      <c r="K100" s="6" t="s">
        <v>151</v>
      </c>
      <c r="L100" s="8" t="s">
        <v>152</v>
      </c>
      <c r="M100" s="7">
        <v>19.393083333333301</v>
      </c>
      <c r="N100" s="7">
        <v>-101.92144444444445</v>
      </c>
      <c r="O100" s="4">
        <v>1270</v>
      </c>
      <c r="P100" s="4" t="s">
        <v>15</v>
      </c>
      <c r="Q100" s="4" t="s">
        <v>14</v>
      </c>
      <c r="R100" s="22"/>
      <c r="S100" s="22"/>
      <c r="T100" s="22">
        <v>3</v>
      </c>
      <c r="U100" s="22" t="s">
        <v>156</v>
      </c>
      <c r="AC100" s="4" t="s">
        <v>491</v>
      </c>
      <c r="AD100" s="4" t="s">
        <v>481</v>
      </c>
    </row>
    <row r="101" spans="1:31">
      <c r="A101" s="4">
        <v>51</v>
      </c>
      <c r="B101" s="4" t="s">
        <v>463</v>
      </c>
      <c r="D101" s="4" t="s">
        <v>80</v>
      </c>
      <c r="E101" s="4">
        <v>5</v>
      </c>
      <c r="F101" s="5" t="s">
        <v>82</v>
      </c>
      <c r="G101" s="5" t="s">
        <v>143</v>
      </c>
      <c r="I101" s="17" t="s">
        <v>143</v>
      </c>
      <c r="J101" s="4" t="s">
        <v>144</v>
      </c>
      <c r="L101" s="8" t="s">
        <v>145</v>
      </c>
      <c r="M101" s="7">
        <v>18.778908000000001</v>
      </c>
      <c r="N101" s="7">
        <v>-100.42791800000001</v>
      </c>
      <c r="O101" s="4" t="s">
        <v>25</v>
      </c>
      <c r="P101" s="4" t="s">
        <v>15</v>
      </c>
      <c r="Q101" s="4" t="s">
        <v>14</v>
      </c>
      <c r="R101" s="4" t="s">
        <v>19</v>
      </c>
      <c r="S101" s="4">
        <v>95.1</v>
      </c>
      <c r="T101" s="22">
        <v>2</v>
      </c>
      <c r="U101" s="22" t="s">
        <v>110</v>
      </c>
      <c r="V101" s="22" t="s">
        <v>472</v>
      </c>
      <c r="W101" s="22" t="s">
        <v>0</v>
      </c>
      <c r="X101" s="22">
        <v>51</v>
      </c>
      <c r="Y101" s="4">
        <v>20</v>
      </c>
      <c r="Z101" s="26">
        <v>42</v>
      </c>
      <c r="AA101" s="25">
        <f>500/Z101</f>
        <v>11.904761904761905</v>
      </c>
      <c r="AC101" s="22" t="s">
        <v>469</v>
      </c>
      <c r="AD101" s="12" t="s">
        <v>480</v>
      </c>
    </row>
    <row r="102" spans="1:31">
      <c r="A102" s="4">
        <v>51</v>
      </c>
      <c r="B102" s="4" t="s">
        <v>463</v>
      </c>
      <c r="D102" s="4" t="s">
        <v>80</v>
      </c>
      <c r="E102" s="4">
        <v>6</v>
      </c>
      <c r="F102" s="5" t="s">
        <v>82</v>
      </c>
      <c r="G102" s="5" t="s">
        <v>143</v>
      </c>
      <c r="I102" s="17" t="s">
        <v>143</v>
      </c>
      <c r="J102" s="4" t="s">
        <v>144</v>
      </c>
      <c r="L102" s="8" t="s">
        <v>145</v>
      </c>
      <c r="M102" s="7">
        <v>18.778908000000001</v>
      </c>
      <c r="N102" s="7">
        <v>-100.42791800000001</v>
      </c>
      <c r="O102" s="4" t="s">
        <v>25</v>
      </c>
      <c r="P102" s="4" t="s">
        <v>15</v>
      </c>
      <c r="Q102" s="4" t="s">
        <v>45</v>
      </c>
      <c r="R102" s="22"/>
      <c r="S102" s="22"/>
      <c r="T102" s="22">
        <v>1</v>
      </c>
      <c r="U102" s="22" t="s">
        <v>328</v>
      </c>
      <c r="V102" s="4" t="s">
        <v>473</v>
      </c>
      <c r="W102" s="4" t="s">
        <v>0</v>
      </c>
      <c r="X102" s="4" t="s">
        <v>489</v>
      </c>
      <c r="Y102" s="4">
        <v>98</v>
      </c>
      <c r="Z102" s="26">
        <v>112</v>
      </c>
      <c r="AA102" s="25">
        <f>500/Z102</f>
        <v>4.4642857142857144</v>
      </c>
      <c r="AC102" s="22" t="s">
        <v>469</v>
      </c>
      <c r="AD102" s="47" t="s">
        <v>480</v>
      </c>
    </row>
    <row r="103" spans="1:31">
      <c r="A103" s="4">
        <v>52</v>
      </c>
      <c r="B103" s="4" t="s">
        <v>463</v>
      </c>
      <c r="D103" s="4" t="s">
        <v>80</v>
      </c>
      <c r="E103" s="4">
        <v>14</v>
      </c>
      <c r="F103" s="5" t="s">
        <v>82</v>
      </c>
      <c r="G103" s="5" t="s">
        <v>143</v>
      </c>
      <c r="I103" s="17" t="s">
        <v>143</v>
      </c>
      <c r="J103" s="4" t="s">
        <v>57</v>
      </c>
      <c r="L103" s="8" t="s">
        <v>150</v>
      </c>
      <c r="M103" s="7">
        <v>18.313610000000001</v>
      </c>
      <c r="N103" s="7">
        <v>-99.900094999999993</v>
      </c>
      <c r="O103" s="4" t="s">
        <v>25</v>
      </c>
      <c r="P103" s="4" t="s">
        <v>13</v>
      </c>
      <c r="Q103" s="4" t="s">
        <v>14</v>
      </c>
      <c r="R103" s="22"/>
      <c r="S103" s="22"/>
      <c r="T103" s="22">
        <v>1</v>
      </c>
      <c r="U103" s="22" t="s">
        <v>156</v>
      </c>
      <c r="V103" s="4" t="s">
        <v>473</v>
      </c>
      <c r="W103" s="4" t="s">
        <v>0</v>
      </c>
      <c r="X103" s="4" t="s">
        <v>489</v>
      </c>
      <c r="Y103" s="4">
        <v>98</v>
      </c>
      <c r="Z103" s="26">
        <v>72.8</v>
      </c>
      <c r="AA103" s="25">
        <f>500/Z103</f>
        <v>6.8681318681318686</v>
      </c>
      <c r="AC103" s="22" t="s">
        <v>469</v>
      </c>
      <c r="AD103" s="47" t="s">
        <v>480</v>
      </c>
      <c r="AE103" s="22"/>
    </row>
    <row r="104" spans="1:31">
      <c r="A104" s="22">
        <v>52</v>
      </c>
      <c r="B104" s="22" t="s">
        <v>463</v>
      </c>
      <c r="C104" s="22"/>
      <c r="D104" s="4" t="s">
        <v>80</v>
      </c>
      <c r="E104" s="4">
        <v>15</v>
      </c>
      <c r="F104" s="5" t="s">
        <v>82</v>
      </c>
      <c r="G104" s="5" t="s">
        <v>143</v>
      </c>
      <c r="I104" s="17" t="s">
        <v>143</v>
      </c>
      <c r="J104" s="4" t="s">
        <v>57</v>
      </c>
      <c r="L104" s="8" t="s">
        <v>150</v>
      </c>
      <c r="M104" s="7">
        <v>18.313610000000001</v>
      </c>
      <c r="N104" s="7">
        <v>-99.900094999999993</v>
      </c>
      <c r="O104" s="4" t="s">
        <v>25</v>
      </c>
      <c r="P104" s="4" t="s">
        <v>13</v>
      </c>
      <c r="Q104" s="4" t="s">
        <v>14</v>
      </c>
      <c r="R104" s="4" t="s">
        <v>19</v>
      </c>
      <c r="S104" s="4">
        <v>95.5</v>
      </c>
      <c r="T104" s="22">
        <v>2</v>
      </c>
      <c r="U104" s="22" t="s">
        <v>153</v>
      </c>
      <c r="V104" s="4" t="s">
        <v>472</v>
      </c>
      <c r="W104" s="4" t="s">
        <v>0</v>
      </c>
      <c r="X104" s="22">
        <v>52</v>
      </c>
      <c r="Y104" s="4">
        <v>25</v>
      </c>
      <c r="Z104" s="26">
        <v>37.799999999999997</v>
      </c>
      <c r="AA104" s="25">
        <f>500/Z104</f>
        <v>13.227513227513228</v>
      </c>
      <c r="AC104" s="22" t="s">
        <v>469</v>
      </c>
      <c r="AD104" s="12" t="s">
        <v>480</v>
      </c>
    </row>
    <row r="105" spans="1:31">
      <c r="A105" s="4">
        <v>53</v>
      </c>
      <c r="B105" s="4" t="s">
        <v>463</v>
      </c>
      <c r="D105" s="4" t="s">
        <v>10</v>
      </c>
      <c r="E105" s="4">
        <v>3103</v>
      </c>
      <c r="F105" s="5" t="s">
        <v>82</v>
      </c>
      <c r="G105" s="5" t="s">
        <v>143</v>
      </c>
      <c r="I105" s="17" t="s">
        <v>143</v>
      </c>
      <c r="J105" s="4" t="s">
        <v>57</v>
      </c>
      <c r="K105" s="6" t="s">
        <v>154</v>
      </c>
      <c r="L105" s="8" t="s">
        <v>155</v>
      </c>
      <c r="M105" s="7">
        <v>18.281916666666699</v>
      </c>
      <c r="N105" s="7">
        <v>-100.44555555555556</v>
      </c>
      <c r="O105" s="4">
        <v>374</v>
      </c>
      <c r="P105" s="4" t="s">
        <v>13</v>
      </c>
      <c r="Q105" s="4" t="s">
        <v>14</v>
      </c>
      <c r="R105" s="4" t="s">
        <v>19</v>
      </c>
      <c r="S105" s="4">
        <v>3.12</v>
      </c>
      <c r="T105" s="22">
        <v>1</v>
      </c>
      <c r="U105" s="22" t="s">
        <v>192</v>
      </c>
      <c r="V105" s="22" t="s">
        <v>473</v>
      </c>
      <c r="W105" s="22" t="s">
        <v>473</v>
      </c>
      <c r="X105" s="22">
        <v>53</v>
      </c>
      <c r="Y105" s="4">
        <v>100</v>
      </c>
      <c r="Z105" s="26">
        <v>43.2</v>
      </c>
      <c r="AA105" s="25">
        <f>500/Z105</f>
        <v>11.574074074074073</v>
      </c>
      <c r="AC105" s="22" t="s">
        <v>470</v>
      </c>
      <c r="AD105" s="12" t="s">
        <v>480</v>
      </c>
      <c r="AE105" s="22"/>
    </row>
    <row r="106" spans="1:31" s="43" customFormat="1">
      <c r="A106" s="43">
        <v>53</v>
      </c>
      <c r="D106" s="43" t="s">
        <v>10</v>
      </c>
      <c r="E106" s="43">
        <v>3104</v>
      </c>
      <c r="F106" s="72" t="s">
        <v>82</v>
      </c>
      <c r="G106" s="72" t="s">
        <v>143</v>
      </c>
      <c r="H106" s="73"/>
      <c r="I106" s="74" t="s">
        <v>143</v>
      </c>
      <c r="J106" s="43" t="s">
        <v>57</v>
      </c>
      <c r="K106" s="36" t="s">
        <v>154</v>
      </c>
      <c r="L106" s="75" t="s">
        <v>155</v>
      </c>
      <c r="M106" s="76">
        <v>18.281916666666667</v>
      </c>
      <c r="N106" s="76">
        <v>-100.44555555555556</v>
      </c>
      <c r="O106" s="43">
        <v>374</v>
      </c>
      <c r="Q106" s="43" t="s">
        <v>16</v>
      </c>
      <c r="T106" s="43">
        <v>3</v>
      </c>
      <c r="U106" s="43" t="s">
        <v>254</v>
      </c>
      <c r="AA106" s="77"/>
      <c r="AD106" s="43" t="s">
        <v>481</v>
      </c>
    </row>
    <row r="107" spans="1:31">
      <c r="A107" s="4">
        <v>54</v>
      </c>
      <c r="B107" s="4" t="s">
        <v>463</v>
      </c>
      <c r="D107" s="4" t="s">
        <v>80</v>
      </c>
      <c r="E107" s="4">
        <v>8</v>
      </c>
      <c r="F107" s="5" t="s">
        <v>82</v>
      </c>
      <c r="G107" s="5" t="s">
        <v>143</v>
      </c>
      <c r="I107" s="17" t="s">
        <v>143</v>
      </c>
      <c r="J107" s="4" t="s">
        <v>57</v>
      </c>
      <c r="K107" s="8" t="s">
        <v>157</v>
      </c>
      <c r="L107" s="8" t="s">
        <v>157</v>
      </c>
      <c r="M107" s="7">
        <v>18.324864000000002</v>
      </c>
      <c r="N107" s="7">
        <v>-100.69868200000001</v>
      </c>
      <c r="O107" s="4" t="s">
        <v>25</v>
      </c>
      <c r="P107" s="4" t="s">
        <v>13</v>
      </c>
      <c r="Q107" s="4" t="s">
        <v>14</v>
      </c>
      <c r="R107" s="4" t="s">
        <v>19</v>
      </c>
      <c r="S107" s="4">
        <v>95.2</v>
      </c>
      <c r="T107" s="22">
        <v>2</v>
      </c>
      <c r="U107" s="22" t="s">
        <v>60</v>
      </c>
      <c r="V107" s="22" t="s">
        <v>472</v>
      </c>
      <c r="W107" s="22" t="s">
        <v>472</v>
      </c>
      <c r="X107" s="22">
        <v>54</v>
      </c>
      <c r="Y107" s="4">
        <v>25</v>
      </c>
      <c r="Z107" s="26">
        <v>34.6</v>
      </c>
      <c r="AA107" s="25">
        <f>500/Z107</f>
        <v>14.450867052023121</v>
      </c>
      <c r="AC107" s="22" t="s">
        <v>469</v>
      </c>
      <c r="AD107" s="12" t="s">
        <v>480</v>
      </c>
    </row>
    <row r="108" spans="1:31" s="43" customFormat="1">
      <c r="A108" s="43">
        <v>54</v>
      </c>
      <c r="D108" s="43" t="s">
        <v>80</v>
      </c>
      <c r="E108" s="43">
        <v>4</v>
      </c>
      <c r="F108" s="72" t="s">
        <v>82</v>
      </c>
      <c r="G108" s="72" t="s">
        <v>143</v>
      </c>
      <c r="H108" s="73"/>
      <c r="I108" s="74" t="s">
        <v>143</v>
      </c>
      <c r="J108" s="43" t="s">
        <v>57</v>
      </c>
      <c r="K108" s="75" t="s">
        <v>157</v>
      </c>
      <c r="L108" s="75" t="s">
        <v>157</v>
      </c>
      <c r="M108" s="76">
        <v>18.324864000000002</v>
      </c>
      <c r="N108" s="76">
        <v>-100.69868200000001</v>
      </c>
      <c r="O108" s="43" t="s">
        <v>25</v>
      </c>
      <c r="P108" s="43" t="s">
        <v>13</v>
      </c>
      <c r="Q108" s="43" t="s">
        <v>14</v>
      </c>
      <c r="T108" s="43">
        <v>3</v>
      </c>
      <c r="U108" s="43" t="s">
        <v>279</v>
      </c>
      <c r="AA108" s="77"/>
      <c r="AD108" s="43" t="s">
        <v>481</v>
      </c>
    </row>
    <row r="109" spans="1:31" s="27" customFormat="1">
      <c r="A109" s="27">
        <v>55</v>
      </c>
      <c r="B109" s="27" t="s">
        <v>463</v>
      </c>
      <c r="D109" s="27" t="s">
        <v>161</v>
      </c>
      <c r="E109" s="27" t="s">
        <v>316</v>
      </c>
      <c r="F109" s="87" t="s">
        <v>82</v>
      </c>
      <c r="G109" s="87" t="s">
        <v>162</v>
      </c>
      <c r="H109" s="88"/>
      <c r="I109" s="89" t="s">
        <v>163</v>
      </c>
      <c r="J109" s="27" t="s">
        <v>158</v>
      </c>
      <c r="K109" s="90" t="s">
        <v>159</v>
      </c>
      <c r="L109" s="91" t="s">
        <v>160</v>
      </c>
      <c r="M109" s="92">
        <v>20.471364000000001</v>
      </c>
      <c r="N109" s="92">
        <v>-103.558876</v>
      </c>
      <c r="O109" s="27">
        <v>1528</v>
      </c>
      <c r="P109" s="27" t="s">
        <v>15</v>
      </c>
      <c r="Q109" s="27" t="s">
        <v>45</v>
      </c>
      <c r="T109" s="27">
        <v>2</v>
      </c>
      <c r="U109" s="27" t="s">
        <v>156</v>
      </c>
      <c r="V109" s="27" t="s">
        <v>473</v>
      </c>
      <c r="W109" s="27" t="s">
        <v>0</v>
      </c>
      <c r="X109" s="27" t="s">
        <v>489</v>
      </c>
      <c r="Y109" s="27" t="s">
        <v>494</v>
      </c>
      <c r="Z109" s="27">
        <v>25.6</v>
      </c>
      <c r="AA109" s="93">
        <f>500/Z109</f>
        <v>19.53125</v>
      </c>
      <c r="AC109" s="27" t="s">
        <v>469</v>
      </c>
      <c r="AD109" s="94" t="s">
        <v>480</v>
      </c>
    </row>
    <row r="110" spans="1:31">
      <c r="A110" s="28">
        <v>55</v>
      </c>
      <c r="B110" s="28"/>
      <c r="C110" s="28"/>
      <c r="D110" s="28" t="s">
        <v>161</v>
      </c>
      <c r="E110" s="28" t="s">
        <v>316</v>
      </c>
      <c r="F110" s="29" t="s">
        <v>82</v>
      </c>
      <c r="G110" s="29" t="s">
        <v>162</v>
      </c>
      <c r="H110" s="30"/>
      <c r="I110" s="31" t="s">
        <v>163</v>
      </c>
      <c r="J110" s="28" t="s">
        <v>158</v>
      </c>
      <c r="K110" s="32" t="s">
        <v>159</v>
      </c>
      <c r="L110" s="33" t="s">
        <v>160</v>
      </c>
      <c r="M110" s="34">
        <v>20.471364000000001</v>
      </c>
      <c r="N110" s="34">
        <v>-103.558876</v>
      </c>
      <c r="O110" s="28">
        <v>1528</v>
      </c>
      <c r="P110" s="28" t="s">
        <v>15</v>
      </c>
      <c r="Q110" s="28" t="s">
        <v>14</v>
      </c>
      <c r="R110" s="28" t="s">
        <v>19</v>
      </c>
      <c r="S110" s="28">
        <v>3.2</v>
      </c>
      <c r="T110" s="28"/>
      <c r="U110" s="28"/>
      <c r="V110" s="28" t="s">
        <v>472</v>
      </c>
      <c r="W110" s="28" t="s">
        <v>472</v>
      </c>
      <c r="X110" s="28">
        <v>55</v>
      </c>
      <c r="Y110" s="28">
        <v>30</v>
      </c>
      <c r="Z110" s="28">
        <v>10.7</v>
      </c>
      <c r="AA110" s="35">
        <f>500/Z110</f>
        <v>46.728971962616825</v>
      </c>
      <c r="AB110" s="28"/>
      <c r="AC110" s="28" t="s">
        <v>471</v>
      </c>
      <c r="AD110" s="2" t="s">
        <v>480</v>
      </c>
    </row>
    <row r="111" spans="1:31">
      <c r="A111" s="28">
        <v>56</v>
      </c>
      <c r="B111" s="28"/>
      <c r="C111" s="28"/>
      <c r="D111" s="28" t="s">
        <v>27</v>
      </c>
      <c r="E111" s="28">
        <v>27</v>
      </c>
      <c r="F111" s="29" t="s">
        <v>82</v>
      </c>
      <c r="G111" s="29" t="s">
        <v>162</v>
      </c>
      <c r="H111" s="30"/>
      <c r="I111" s="31" t="s">
        <v>163</v>
      </c>
      <c r="J111" s="28" t="s">
        <v>158</v>
      </c>
      <c r="K111" s="32" t="s">
        <v>324</v>
      </c>
      <c r="L111" s="33" t="s">
        <v>325</v>
      </c>
      <c r="M111" s="34">
        <v>19.979500000000002</v>
      </c>
      <c r="N111" s="34">
        <v>-103.786472</v>
      </c>
      <c r="O111" s="28">
        <v>2186</v>
      </c>
      <c r="P111" s="28" t="s">
        <v>15</v>
      </c>
      <c r="Q111" s="28" t="s">
        <v>14</v>
      </c>
      <c r="R111" s="28" t="s">
        <v>328</v>
      </c>
      <c r="S111" s="28" t="s">
        <v>449</v>
      </c>
      <c r="T111" s="28"/>
      <c r="U111" s="28"/>
      <c r="V111" s="28" t="s">
        <v>0</v>
      </c>
      <c r="W111" s="28" t="s">
        <v>472</v>
      </c>
      <c r="X111" s="28">
        <v>56</v>
      </c>
      <c r="Y111" s="28">
        <v>250</v>
      </c>
      <c r="Z111" s="28">
        <v>0.2</v>
      </c>
      <c r="AA111" s="35">
        <f>500/Z111</f>
        <v>2500</v>
      </c>
      <c r="AB111" s="28"/>
      <c r="AC111" s="28" t="s">
        <v>471</v>
      </c>
      <c r="AD111" s="2" t="s">
        <v>480</v>
      </c>
    </row>
    <row r="112" spans="1:31" s="43" customFormat="1" ht="15" customHeight="1">
      <c r="A112" s="43">
        <v>56</v>
      </c>
      <c r="D112" s="43" t="s">
        <v>27</v>
      </c>
      <c r="E112" s="43">
        <v>27</v>
      </c>
      <c r="F112" s="72" t="s">
        <v>82</v>
      </c>
      <c r="G112" s="72" t="s">
        <v>162</v>
      </c>
      <c r="H112" s="73"/>
      <c r="I112" s="74" t="s">
        <v>163</v>
      </c>
      <c r="J112" s="43" t="s">
        <v>158</v>
      </c>
      <c r="K112" s="36" t="s">
        <v>324</v>
      </c>
      <c r="L112" s="75" t="s">
        <v>325</v>
      </c>
      <c r="M112" s="76">
        <v>19.979500000000002</v>
      </c>
      <c r="N112" s="76">
        <v>-103.786472</v>
      </c>
      <c r="O112" s="43">
        <v>2186</v>
      </c>
      <c r="P112" s="43" t="s">
        <v>15</v>
      </c>
      <c r="Q112" s="43" t="s">
        <v>14</v>
      </c>
      <c r="T112" s="43">
        <v>3</v>
      </c>
      <c r="U112" s="43" t="s">
        <v>369</v>
      </c>
      <c r="AA112" s="77"/>
      <c r="AD112" s="43" t="s">
        <v>481</v>
      </c>
    </row>
    <row r="113" spans="1:31" ht="15" customHeight="1">
      <c r="A113" s="4">
        <v>57</v>
      </c>
      <c r="B113" s="4" t="s">
        <v>463</v>
      </c>
      <c r="D113" s="4" t="s">
        <v>20</v>
      </c>
      <c r="E113" s="4">
        <v>2141</v>
      </c>
      <c r="F113" s="5" t="s">
        <v>82</v>
      </c>
      <c r="G113" s="5" t="s">
        <v>162</v>
      </c>
      <c r="I113" s="17" t="s">
        <v>164</v>
      </c>
      <c r="J113" s="4" t="s">
        <v>158</v>
      </c>
      <c r="K113" s="6" t="s">
        <v>165</v>
      </c>
      <c r="L113" s="8" t="s">
        <v>165</v>
      </c>
      <c r="M113" s="7">
        <v>20.943472222222223</v>
      </c>
      <c r="N113" s="7">
        <v>-103.46644444444445</v>
      </c>
      <c r="O113" s="4">
        <v>1643</v>
      </c>
      <c r="P113" s="4" t="s">
        <v>13</v>
      </c>
      <c r="Q113" s="4" t="s">
        <v>16</v>
      </c>
      <c r="R113" s="4" t="s">
        <v>19</v>
      </c>
      <c r="S113" s="4">
        <v>89.9</v>
      </c>
      <c r="T113" s="22">
        <v>2</v>
      </c>
      <c r="U113" s="11" t="s">
        <v>18</v>
      </c>
      <c r="V113" s="4" t="s">
        <v>472</v>
      </c>
      <c r="W113" s="4" t="s">
        <v>472</v>
      </c>
      <c r="X113" s="22">
        <v>57</v>
      </c>
      <c r="Y113" s="22">
        <v>25</v>
      </c>
      <c r="Z113" s="26">
        <v>34.200000000000003</v>
      </c>
      <c r="AA113" s="25">
        <f>500/Z113</f>
        <v>14.619883040935671</v>
      </c>
      <c r="AC113" s="4" t="s">
        <v>469</v>
      </c>
      <c r="AD113" s="12" t="s">
        <v>480</v>
      </c>
    </row>
    <row r="114" spans="1:31">
      <c r="A114" s="22">
        <v>57</v>
      </c>
      <c r="B114" s="22"/>
      <c r="C114" s="22"/>
      <c r="D114" s="4" t="s">
        <v>20</v>
      </c>
      <c r="E114" s="4">
        <v>2141</v>
      </c>
      <c r="F114" s="5" t="s">
        <v>82</v>
      </c>
      <c r="G114" s="5" t="s">
        <v>162</v>
      </c>
      <c r="I114" s="17" t="s">
        <v>164</v>
      </c>
      <c r="J114" s="4" t="s">
        <v>158</v>
      </c>
      <c r="K114" s="6" t="s">
        <v>165</v>
      </c>
      <c r="L114" s="8" t="s">
        <v>165</v>
      </c>
      <c r="M114" s="7">
        <v>20.943472222222223</v>
      </c>
      <c r="N114" s="7">
        <v>-103.46644444444445</v>
      </c>
      <c r="O114" s="4">
        <v>1643</v>
      </c>
      <c r="P114" s="4" t="s">
        <v>13</v>
      </c>
      <c r="Q114" s="4" t="s">
        <v>16</v>
      </c>
      <c r="R114" s="22"/>
      <c r="S114" s="22"/>
      <c r="T114" s="22">
        <v>3</v>
      </c>
      <c r="U114" s="22" t="s">
        <v>377</v>
      </c>
      <c r="AC114" s="4" t="s">
        <v>491</v>
      </c>
      <c r="AD114" s="4" t="s">
        <v>481</v>
      </c>
    </row>
    <row r="115" spans="1:31">
      <c r="A115" s="22">
        <v>58</v>
      </c>
      <c r="B115" s="22" t="s">
        <v>463</v>
      </c>
      <c r="C115" s="22"/>
      <c r="D115" s="22" t="s">
        <v>10</v>
      </c>
      <c r="E115" s="22">
        <v>3786</v>
      </c>
      <c r="F115" s="1" t="s">
        <v>82</v>
      </c>
      <c r="G115" s="1" t="s">
        <v>162</v>
      </c>
      <c r="H115" s="19" t="s">
        <v>463</v>
      </c>
      <c r="I115" s="17" t="s">
        <v>164</v>
      </c>
      <c r="J115" s="4" t="s">
        <v>169</v>
      </c>
      <c r="K115" s="6" t="s">
        <v>170</v>
      </c>
      <c r="L115" s="8" t="s">
        <v>171</v>
      </c>
      <c r="M115" s="7">
        <v>21.03492</v>
      </c>
      <c r="N115" s="7">
        <v>-104.36732000000001</v>
      </c>
      <c r="O115" s="4">
        <v>1041</v>
      </c>
      <c r="Q115" s="4" t="s">
        <v>16</v>
      </c>
      <c r="R115" s="4" t="s">
        <v>51</v>
      </c>
      <c r="S115" s="4" t="s">
        <v>173</v>
      </c>
      <c r="T115" s="22">
        <v>2</v>
      </c>
      <c r="U115" s="22" t="s">
        <v>172</v>
      </c>
      <c r="V115" s="4" t="s">
        <v>472</v>
      </c>
      <c r="W115" s="4" t="s">
        <v>472</v>
      </c>
      <c r="X115" s="22">
        <v>58</v>
      </c>
      <c r="Y115" s="4">
        <v>25</v>
      </c>
      <c r="Z115" s="26">
        <v>36.799999999999997</v>
      </c>
      <c r="AA115" s="24">
        <f>500/Z115</f>
        <v>13.586956521739131</v>
      </c>
      <c r="AC115" s="22" t="s">
        <v>469</v>
      </c>
      <c r="AD115" s="12" t="s">
        <v>480</v>
      </c>
    </row>
    <row r="116" spans="1:31" ht="15" customHeight="1">
      <c r="A116" s="4">
        <v>58</v>
      </c>
      <c r="D116" s="22" t="s">
        <v>10</v>
      </c>
      <c r="E116" s="22">
        <v>3786</v>
      </c>
      <c r="F116" s="1" t="s">
        <v>82</v>
      </c>
      <c r="G116" s="1" t="s">
        <v>162</v>
      </c>
      <c r="H116" s="19" t="s">
        <v>463</v>
      </c>
      <c r="I116" s="17" t="s">
        <v>164</v>
      </c>
      <c r="J116" s="4" t="s">
        <v>169</v>
      </c>
      <c r="K116" s="6" t="s">
        <v>170</v>
      </c>
      <c r="L116" s="8" t="s">
        <v>171</v>
      </c>
      <c r="M116" s="7">
        <v>21.03492</v>
      </c>
      <c r="N116" s="7">
        <v>-104.36732000000001</v>
      </c>
      <c r="O116" s="4">
        <v>1041</v>
      </c>
      <c r="Q116" s="4" t="s">
        <v>16</v>
      </c>
      <c r="R116" s="22"/>
      <c r="S116" s="22"/>
      <c r="T116" s="22">
        <v>3</v>
      </c>
      <c r="U116" s="22" t="s">
        <v>378</v>
      </c>
      <c r="AC116" s="4" t="s">
        <v>491</v>
      </c>
      <c r="AD116" s="4" t="s">
        <v>481</v>
      </c>
    </row>
    <row r="117" spans="1:31">
      <c r="A117" s="4">
        <v>59</v>
      </c>
      <c r="B117" s="4" t="s">
        <v>463</v>
      </c>
      <c r="D117" s="4" t="s">
        <v>248</v>
      </c>
      <c r="E117" s="4">
        <v>30211</v>
      </c>
      <c r="F117" s="5" t="s">
        <v>82</v>
      </c>
      <c r="G117" s="5" t="s">
        <v>162</v>
      </c>
      <c r="I117" s="17" t="s">
        <v>164</v>
      </c>
      <c r="J117" s="4" t="s">
        <v>169</v>
      </c>
      <c r="K117" s="6" t="s">
        <v>291</v>
      </c>
      <c r="L117" s="8" t="s">
        <v>292</v>
      </c>
      <c r="M117" s="7">
        <v>20.92267</v>
      </c>
      <c r="N117" s="7">
        <v>-104.47967</v>
      </c>
      <c r="O117" s="4">
        <v>714</v>
      </c>
      <c r="P117" s="4" t="s">
        <v>25</v>
      </c>
      <c r="R117" s="22"/>
      <c r="S117" s="22"/>
      <c r="T117" s="22">
        <v>1</v>
      </c>
      <c r="U117" s="22" t="s">
        <v>380</v>
      </c>
      <c r="V117" s="37" t="s">
        <v>473</v>
      </c>
      <c r="W117" s="37" t="s">
        <v>472</v>
      </c>
      <c r="X117" s="37" t="s">
        <v>495</v>
      </c>
      <c r="Y117" s="37">
        <v>20</v>
      </c>
      <c r="Z117" s="45">
        <v>64.8</v>
      </c>
      <c r="AA117" s="41">
        <f>500/Z117</f>
        <v>7.7160493827160499</v>
      </c>
      <c r="AB117" s="37"/>
      <c r="AC117" s="44" t="s">
        <v>469</v>
      </c>
      <c r="AD117" s="48" t="s">
        <v>480</v>
      </c>
    </row>
    <row r="118" spans="1:31">
      <c r="A118" s="28">
        <v>59</v>
      </c>
      <c r="B118" s="28"/>
      <c r="C118" s="28"/>
      <c r="D118" s="28" t="s">
        <v>248</v>
      </c>
      <c r="E118" s="28">
        <v>30211</v>
      </c>
      <c r="F118" s="29" t="s">
        <v>82</v>
      </c>
      <c r="G118" s="29" t="s">
        <v>162</v>
      </c>
      <c r="H118" s="30"/>
      <c r="I118" s="31" t="s">
        <v>164</v>
      </c>
      <c r="J118" s="28" t="s">
        <v>169</v>
      </c>
      <c r="K118" s="32" t="s">
        <v>291</v>
      </c>
      <c r="L118" s="33" t="s">
        <v>292</v>
      </c>
      <c r="M118" s="34">
        <v>20.92267</v>
      </c>
      <c r="N118" s="34">
        <v>-104.47967</v>
      </c>
      <c r="O118" s="28">
        <v>714</v>
      </c>
      <c r="P118" s="28" t="s">
        <v>25</v>
      </c>
      <c r="Q118" s="28"/>
      <c r="R118" s="28" t="s">
        <v>19</v>
      </c>
      <c r="S118" s="28">
        <v>8.3000000000000007</v>
      </c>
      <c r="T118" s="28"/>
      <c r="U118" s="28"/>
      <c r="V118" s="28" t="s">
        <v>0</v>
      </c>
      <c r="W118" s="28" t="s">
        <v>472</v>
      </c>
      <c r="X118" s="28">
        <v>59</v>
      </c>
      <c r="Y118" s="28">
        <v>120</v>
      </c>
      <c r="Z118" s="28">
        <v>1.39</v>
      </c>
      <c r="AA118" s="35">
        <f>500/Z118</f>
        <v>359.71223021582739</v>
      </c>
      <c r="AB118" s="28"/>
      <c r="AC118" s="28" t="s">
        <v>471</v>
      </c>
      <c r="AD118" s="2" t="s">
        <v>480</v>
      </c>
    </row>
    <row r="119" spans="1:31">
      <c r="A119" s="22">
        <v>60</v>
      </c>
      <c r="B119" s="22" t="s">
        <v>463</v>
      </c>
      <c r="C119" s="22"/>
      <c r="D119" s="22" t="s">
        <v>10</v>
      </c>
      <c r="E119" s="22">
        <v>1211</v>
      </c>
      <c r="F119" s="1" t="s">
        <v>82</v>
      </c>
      <c r="G119" s="1" t="s">
        <v>174</v>
      </c>
      <c r="H119" s="19"/>
      <c r="I119" s="16" t="s">
        <v>174</v>
      </c>
      <c r="J119" s="22" t="s">
        <v>166</v>
      </c>
      <c r="K119" s="6" t="s">
        <v>167</v>
      </c>
      <c r="L119" s="3" t="s">
        <v>177</v>
      </c>
      <c r="M119" s="7">
        <v>23.3891666666667</v>
      </c>
      <c r="N119" s="7">
        <v>-106.44388888888889</v>
      </c>
      <c r="O119" s="4">
        <v>41</v>
      </c>
      <c r="Q119" s="4" t="s">
        <v>178</v>
      </c>
      <c r="R119" s="22"/>
      <c r="S119" s="22"/>
      <c r="T119" s="22">
        <v>2</v>
      </c>
      <c r="U119" s="22" t="s">
        <v>384</v>
      </c>
      <c r="V119" s="22" t="s">
        <v>473</v>
      </c>
      <c r="W119" s="22" t="s">
        <v>458</v>
      </c>
      <c r="X119" s="22" t="s">
        <v>541</v>
      </c>
      <c r="Y119" s="22">
        <v>146</v>
      </c>
      <c r="Z119" s="26">
        <v>39</v>
      </c>
      <c r="AA119" s="24">
        <f>500/Z119</f>
        <v>12.820512820512821</v>
      </c>
      <c r="AB119" s="22"/>
      <c r="AC119" s="22" t="s">
        <v>470</v>
      </c>
      <c r="AD119" s="22" t="s">
        <v>480</v>
      </c>
      <c r="AE119" s="22"/>
    </row>
    <row r="120" spans="1:31" s="27" customFormat="1">
      <c r="A120" s="27">
        <v>60</v>
      </c>
      <c r="B120" s="27" t="s">
        <v>463</v>
      </c>
      <c r="D120" s="27" t="s">
        <v>10</v>
      </c>
      <c r="E120" s="27">
        <v>3748</v>
      </c>
      <c r="F120" s="87" t="s">
        <v>82</v>
      </c>
      <c r="G120" s="87" t="s">
        <v>174</v>
      </c>
      <c r="H120" s="88"/>
      <c r="I120" s="89" t="s">
        <v>174</v>
      </c>
      <c r="J120" s="27" t="s">
        <v>166</v>
      </c>
      <c r="K120" s="90" t="s">
        <v>167</v>
      </c>
      <c r="L120" s="91" t="s">
        <v>168</v>
      </c>
      <c r="M120" s="92">
        <v>23.4453</v>
      </c>
      <c r="N120" s="92">
        <v>-106.4662</v>
      </c>
      <c r="O120" s="27">
        <v>39</v>
      </c>
      <c r="Q120" s="27" t="s">
        <v>16</v>
      </c>
      <c r="R120" s="27" t="s">
        <v>51</v>
      </c>
      <c r="S120" s="27" t="s">
        <v>176</v>
      </c>
      <c r="T120" s="27">
        <v>2</v>
      </c>
      <c r="U120" s="27" t="s">
        <v>279</v>
      </c>
      <c r="V120" s="27" t="s">
        <v>472</v>
      </c>
      <c r="W120" s="27" t="s">
        <v>0</v>
      </c>
      <c r="X120" s="27">
        <v>60</v>
      </c>
      <c r="Y120" s="27">
        <v>25</v>
      </c>
      <c r="Z120" s="27">
        <v>25</v>
      </c>
      <c r="AA120" s="93">
        <f>500/Z120</f>
        <v>20</v>
      </c>
      <c r="AC120" s="27" t="s">
        <v>469</v>
      </c>
      <c r="AD120" s="94" t="s">
        <v>480</v>
      </c>
    </row>
    <row r="121" spans="1:31">
      <c r="A121" s="22">
        <v>61</v>
      </c>
      <c r="B121" s="22" t="s">
        <v>463</v>
      </c>
      <c r="C121" s="22"/>
      <c r="D121" s="22" t="s">
        <v>20</v>
      </c>
      <c r="E121" s="22">
        <v>1302</v>
      </c>
      <c r="F121" s="1" t="s">
        <v>82</v>
      </c>
      <c r="G121" s="1" t="s">
        <v>174</v>
      </c>
      <c r="H121" s="19"/>
      <c r="I121" s="17" t="s">
        <v>174</v>
      </c>
      <c r="J121" s="4" t="s">
        <v>166</v>
      </c>
      <c r="K121" s="6" t="s">
        <v>179</v>
      </c>
      <c r="L121" s="8" t="s">
        <v>180</v>
      </c>
      <c r="M121" s="7">
        <v>25.457527777777777</v>
      </c>
      <c r="N121" s="7">
        <v>-107.52905555555556</v>
      </c>
      <c r="O121" s="4">
        <v>360</v>
      </c>
      <c r="P121" s="4" t="s">
        <v>13</v>
      </c>
      <c r="Q121" s="4" t="s">
        <v>14</v>
      </c>
      <c r="R121" s="4" t="s">
        <v>19</v>
      </c>
      <c r="S121" s="4">
        <v>50.9</v>
      </c>
      <c r="T121" s="22">
        <v>2</v>
      </c>
      <c r="U121" s="22" t="s">
        <v>301</v>
      </c>
      <c r="V121" s="22" t="s">
        <v>458</v>
      </c>
      <c r="W121" s="22" t="s">
        <v>458</v>
      </c>
      <c r="X121" s="22">
        <v>61</v>
      </c>
      <c r="Y121" s="4">
        <v>100</v>
      </c>
      <c r="Z121" s="26">
        <v>39.799999999999997</v>
      </c>
      <c r="AA121" s="24">
        <f>500/Z121</f>
        <v>12.562814070351759</v>
      </c>
      <c r="AC121" s="4" t="s">
        <v>470</v>
      </c>
      <c r="AD121" s="12" t="s">
        <v>480</v>
      </c>
    </row>
    <row r="122" spans="1:31">
      <c r="A122" s="4">
        <v>61</v>
      </c>
      <c r="D122" s="4" t="s">
        <v>20</v>
      </c>
      <c r="E122" s="4">
        <v>1302</v>
      </c>
      <c r="F122" s="5" t="s">
        <v>82</v>
      </c>
      <c r="G122" s="5" t="s">
        <v>174</v>
      </c>
      <c r="I122" s="17" t="s">
        <v>174</v>
      </c>
      <c r="J122" s="4" t="s">
        <v>166</v>
      </c>
      <c r="K122" s="6" t="s">
        <v>179</v>
      </c>
      <c r="L122" s="8" t="s">
        <v>180</v>
      </c>
      <c r="M122" s="7">
        <v>25.457527777777777</v>
      </c>
      <c r="N122" s="7">
        <v>-107.52905555555556</v>
      </c>
      <c r="O122" s="4">
        <v>360</v>
      </c>
      <c r="P122" s="4" t="s">
        <v>13</v>
      </c>
      <c r="Q122" s="4" t="s">
        <v>14</v>
      </c>
      <c r="R122" s="22"/>
      <c r="S122" s="22"/>
      <c r="T122" s="22">
        <v>3</v>
      </c>
      <c r="U122" s="22" t="s">
        <v>380</v>
      </c>
      <c r="AC122" s="4" t="s">
        <v>491</v>
      </c>
      <c r="AD122" s="4" t="s">
        <v>481</v>
      </c>
    </row>
    <row r="123" spans="1:31">
      <c r="A123" s="4">
        <v>62</v>
      </c>
      <c r="B123" s="4" t="s">
        <v>463</v>
      </c>
      <c r="D123" s="22" t="s">
        <v>10</v>
      </c>
      <c r="E123" s="22">
        <v>4104</v>
      </c>
      <c r="F123" s="1" t="s">
        <v>82</v>
      </c>
      <c r="G123" s="1" t="s">
        <v>174</v>
      </c>
      <c r="H123" s="19"/>
      <c r="I123" s="17" t="s">
        <v>174</v>
      </c>
      <c r="J123" s="4" t="s">
        <v>166</v>
      </c>
      <c r="K123" s="6" t="s">
        <v>181</v>
      </c>
      <c r="L123" s="8" t="s">
        <v>182</v>
      </c>
      <c r="M123" s="7">
        <v>25.576599999999999</v>
      </c>
      <c r="N123" s="7">
        <v>-108.44835999999999</v>
      </c>
      <c r="O123" s="4">
        <v>22</v>
      </c>
      <c r="P123" s="4" t="s">
        <v>13</v>
      </c>
      <c r="Q123" s="4" t="s">
        <v>14</v>
      </c>
      <c r="R123" s="22" t="s">
        <v>328</v>
      </c>
      <c r="S123" s="22" t="s">
        <v>336</v>
      </c>
      <c r="T123" s="22">
        <v>1</v>
      </c>
      <c r="U123" s="22" t="s">
        <v>85</v>
      </c>
      <c r="V123" s="22" t="s">
        <v>458</v>
      </c>
      <c r="W123" s="22" t="s">
        <v>458</v>
      </c>
      <c r="X123" s="22">
        <v>62</v>
      </c>
      <c r="Y123" s="4">
        <v>25</v>
      </c>
      <c r="Z123" s="26">
        <v>43.4</v>
      </c>
      <c r="AA123" s="24">
        <f>500/Z123</f>
        <v>11.520737327188941</v>
      </c>
      <c r="AC123" s="4" t="s">
        <v>470</v>
      </c>
      <c r="AD123" s="12" t="s">
        <v>480</v>
      </c>
    </row>
    <row r="124" spans="1:31" s="43" customFormat="1">
      <c r="A124" s="43">
        <v>62</v>
      </c>
      <c r="D124" s="43" t="s">
        <v>10</v>
      </c>
      <c r="E124" s="43">
        <v>4103</v>
      </c>
      <c r="F124" s="72" t="s">
        <v>82</v>
      </c>
      <c r="G124" s="72" t="s">
        <v>174</v>
      </c>
      <c r="H124" s="73"/>
      <c r="I124" s="74" t="s">
        <v>174</v>
      </c>
      <c r="J124" s="43" t="s">
        <v>166</v>
      </c>
      <c r="K124" s="36" t="s">
        <v>181</v>
      </c>
      <c r="L124" s="75" t="s">
        <v>182</v>
      </c>
      <c r="M124" s="76">
        <v>25.576599999999999</v>
      </c>
      <c r="N124" s="76">
        <v>-108.44835999999999</v>
      </c>
      <c r="O124" s="43">
        <v>22</v>
      </c>
      <c r="P124" s="43" t="s">
        <v>13</v>
      </c>
      <c r="Q124" s="43" t="s">
        <v>14</v>
      </c>
      <c r="T124" s="43">
        <v>3</v>
      </c>
      <c r="U124" s="43" t="s">
        <v>381</v>
      </c>
      <c r="AA124" s="77"/>
      <c r="AD124" s="43" t="s">
        <v>481</v>
      </c>
    </row>
    <row r="125" spans="1:31">
      <c r="A125" s="4">
        <v>63</v>
      </c>
      <c r="B125" s="4" t="s">
        <v>463</v>
      </c>
      <c r="D125" s="22" t="s">
        <v>10</v>
      </c>
      <c r="E125" s="22">
        <v>4101</v>
      </c>
      <c r="F125" s="1" t="s">
        <v>82</v>
      </c>
      <c r="G125" s="1" t="s">
        <v>174</v>
      </c>
      <c r="H125" s="19"/>
      <c r="I125" s="17" t="s">
        <v>174</v>
      </c>
      <c r="J125" s="4" t="s">
        <v>166</v>
      </c>
      <c r="K125" s="6" t="s">
        <v>183</v>
      </c>
      <c r="L125" s="8" t="s">
        <v>184</v>
      </c>
      <c r="M125" s="7">
        <v>25.251740000000002</v>
      </c>
      <c r="N125" s="7">
        <v>-108.04224000000001</v>
      </c>
      <c r="O125" s="4">
        <v>47</v>
      </c>
      <c r="P125" s="4" t="s">
        <v>13</v>
      </c>
      <c r="Q125" s="4" t="s">
        <v>14</v>
      </c>
      <c r="R125" s="22" t="s">
        <v>328</v>
      </c>
      <c r="S125" s="22" t="s">
        <v>337</v>
      </c>
      <c r="T125" s="22">
        <v>1</v>
      </c>
      <c r="U125" s="22" t="s">
        <v>379</v>
      </c>
      <c r="V125" s="22" t="s">
        <v>473</v>
      </c>
      <c r="W125" s="22" t="s">
        <v>472</v>
      </c>
      <c r="X125" s="22">
        <v>63</v>
      </c>
      <c r="Y125" s="4">
        <v>250</v>
      </c>
      <c r="Z125" s="26">
        <v>67</v>
      </c>
      <c r="AA125" s="24">
        <f>500/Z125</f>
        <v>7.4626865671641793</v>
      </c>
      <c r="AC125" s="4" t="s">
        <v>469</v>
      </c>
      <c r="AD125" s="12" t="s">
        <v>480</v>
      </c>
    </row>
    <row r="126" spans="1:31" s="22" customFormat="1">
      <c r="A126" s="4">
        <v>63</v>
      </c>
      <c r="B126" s="4"/>
      <c r="C126" s="4"/>
      <c r="D126" s="4" t="s">
        <v>10</v>
      </c>
      <c r="E126" s="4">
        <v>4101</v>
      </c>
      <c r="F126" s="5" t="s">
        <v>82</v>
      </c>
      <c r="G126" s="5" t="s">
        <v>174</v>
      </c>
      <c r="H126" s="18"/>
      <c r="I126" s="17" t="s">
        <v>174</v>
      </c>
      <c r="J126" s="4" t="s">
        <v>166</v>
      </c>
      <c r="K126" s="6" t="s">
        <v>183</v>
      </c>
      <c r="L126" s="8" t="s">
        <v>184</v>
      </c>
      <c r="M126" s="7">
        <v>25.251740000000002</v>
      </c>
      <c r="N126" s="7">
        <v>-108.04224000000001</v>
      </c>
      <c r="O126" s="4">
        <v>47</v>
      </c>
      <c r="P126" s="4" t="s">
        <v>13</v>
      </c>
      <c r="Q126" s="4" t="s">
        <v>14</v>
      </c>
      <c r="T126" s="22">
        <v>3</v>
      </c>
      <c r="U126" s="22" t="s">
        <v>382</v>
      </c>
      <c r="V126" s="4"/>
      <c r="W126" s="4"/>
      <c r="X126" s="4"/>
      <c r="Y126" s="4"/>
      <c r="AA126" s="25"/>
      <c r="AB126" s="4"/>
      <c r="AC126" s="4" t="s">
        <v>491</v>
      </c>
      <c r="AD126" s="4" t="s">
        <v>481</v>
      </c>
      <c r="AE126" s="4"/>
    </row>
    <row r="127" spans="1:31">
      <c r="A127" s="22">
        <v>64</v>
      </c>
      <c r="B127" s="22" t="s">
        <v>463</v>
      </c>
      <c r="C127" s="22"/>
      <c r="D127" s="22" t="s">
        <v>10</v>
      </c>
      <c r="E127" s="22">
        <v>4093</v>
      </c>
      <c r="F127" s="1" t="s">
        <v>82</v>
      </c>
      <c r="G127" s="1" t="s">
        <v>174</v>
      </c>
      <c r="H127" s="19"/>
      <c r="I127" s="17" t="s">
        <v>174</v>
      </c>
      <c r="J127" s="4" t="s">
        <v>166</v>
      </c>
      <c r="K127" s="6" t="s">
        <v>167</v>
      </c>
      <c r="L127" s="8" t="s">
        <v>185</v>
      </c>
      <c r="M127" s="7">
        <v>23.348096999999999</v>
      </c>
      <c r="N127" s="7">
        <v>-106.24715399999999</v>
      </c>
      <c r="O127" s="4">
        <v>54</v>
      </c>
      <c r="P127" s="4" t="s">
        <v>13</v>
      </c>
      <c r="Q127" s="4" t="s">
        <v>14</v>
      </c>
      <c r="R127" s="22" t="s">
        <v>328</v>
      </c>
      <c r="S127" s="22" t="s">
        <v>338</v>
      </c>
      <c r="T127" s="22">
        <v>2</v>
      </c>
      <c r="U127" s="22" t="s">
        <v>364</v>
      </c>
      <c r="V127" s="22" t="s">
        <v>473</v>
      </c>
      <c r="W127" s="22" t="s">
        <v>0</v>
      </c>
      <c r="X127" s="22">
        <v>64</v>
      </c>
      <c r="Y127" s="4">
        <v>250</v>
      </c>
      <c r="Z127" s="26">
        <v>40.200000000000003</v>
      </c>
      <c r="AA127" s="24">
        <f>500/Z127</f>
        <v>12.437810945273631</v>
      </c>
      <c r="AC127" s="4" t="s">
        <v>469</v>
      </c>
      <c r="AD127" s="12" t="s">
        <v>480</v>
      </c>
    </row>
    <row r="128" spans="1:31" s="43" customFormat="1">
      <c r="A128" s="43">
        <v>64</v>
      </c>
      <c r="D128" s="43" t="s">
        <v>10</v>
      </c>
      <c r="E128" s="43">
        <v>4094</v>
      </c>
      <c r="F128" s="72" t="s">
        <v>82</v>
      </c>
      <c r="G128" s="72" t="s">
        <v>174</v>
      </c>
      <c r="H128" s="73"/>
      <c r="I128" s="74" t="s">
        <v>174</v>
      </c>
      <c r="J128" s="43" t="s">
        <v>166</v>
      </c>
      <c r="K128" s="36" t="s">
        <v>167</v>
      </c>
      <c r="L128" s="75" t="s">
        <v>185</v>
      </c>
      <c r="M128" s="76">
        <v>23.348096999999999</v>
      </c>
      <c r="N128" s="76">
        <v>-106.24715399999999</v>
      </c>
      <c r="O128" s="43">
        <v>54</v>
      </c>
      <c r="P128" s="43" t="s">
        <v>13</v>
      </c>
      <c r="Q128" s="43" t="s">
        <v>14</v>
      </c>
      <c r="T128" s="43">
        <v>3</v>
      </c>
      <c r="U128" s="43" t="s">
        <v>383</v>
      </c>
      <c r="AA128" s="77"/>
      <c r="AD128" s="43" t="s">
        <v>481</v>
      </c>
    </row>
    <row r="129" spans="1:31" s="27" customFormat="1" ht="15" customHeight="1">
      <c r="A129" s="27">
        <v>65</v>
      </c>
      <c r="B129" s="27" t="s">
        <v>463</v>
      </c>
      <c r="D129" s="27" t="s">
        <v>10</v>
      </c>
      <c r="E129" s="27">
        <v>4098</v>
      </c>
      <c r="F129" s="87" t="s">
        <v>82</v>
      </c>
      <c r="G129" s="87" t="s">
        <v>187</v>
      </c>
      <c r="H129" s="88" t="s">
        <v>463</v>
      </c>
      <c r="I129" s="89" t="s">
        <v>187</v>
      </c>
      <c r="J129" s="27" t="s">
        <v>166</v>
      </c>
      <c r="K129" s="90" t="s">
        <v>188</v>
      </c>
      <c r="L129" s="91" t="s">
        <v>189</v>
      </c>
      <c r="M129" s="92">
        <v>25.005669999999999</v>
      </c>
      <c r="N129" s="92">
        <v>-107.55267000000001</v>
      </c>
      <c r="O129" s="27">
        <v>129</v>
      </c>
      <c r="P129" s="27" t="s">
        <v>13</v>
      </c>
      <c r="Q129" s="27" t="s">
        <v>14</v>
      </c>
      <c r="R129" s="27" t="s">
        <v>328</v>
      </c>
      <c r="S129" s="27" t="s">
        <v>339</v>
      </c>
      <c r="T129" s="27">
        <v>1</v>
      </c>
      <c r="U129" s="27" t="s">
        <v>98</v>
      </c>
      <c r="V129" s="27" t="s">
        <v>472</v>
      </c>
      <c r="W129" s="27" t="s">
        <v>0</v>
      </c>
      <c r="X129" s="27">
        <v>65</v>
      </c>
      <c r="Y129" s="27">
        <v>20</v>
      </c>
      <c r="Z129" s="27">
        <v>54.4</v>
      </c>
      <c r="AA129" s="93">
        <f>500/Z129</f>
        <v>9.1911764705882355</v>
      </c>
      <c r="AC129" s="27" t="s">
        <v>469</v>
      </c>
      <c r="AD129" s="94" t="s">
        <v>480</v>
      </c>
    </row>
    <row r="130" spans="1:31" s="27" customFormat="1" ht="15" customHeight="1">
      <c r="A130" s="27">
        <v>65</v>
      </c>
      <c r="B130" s="27" t="s">
        <v>463</v>
      </c>
      <c r="D130" s="27" t="s">
        <v>10</v>
      </c>
      <c r="E130" s="27">
        <v>4100</v>
      </c>
      <c r="F130" s="87" t="s">
        <v>82</v>
      </c>
      <c r="G130" s="87" t="s">
        <v>187</v>
      </c>
      <c r="H130" s="88"/>
      <c r="I130" s="89" t="s">
        <v>187</v>
      </c>
      <c r="J130" s="27" t="s">
        <v>166</v>
      </c>
      <c r="K130" s="90" t="s">
        <v>188</v>
      </c>
      <c r="L130" s="91" t="s">
        <v>189</v>
      </c>
      <c r="M130" s="92">
        <v>25.005669999999999</v>
      </c>
      <c r="N130" s="92">
        <v>-107.55267000000001</v>
      </c>
      <c r="O130" s="27">
        <v>129</v>
      </c>
      <c r="P130" s="27" t="s">
        <v>13</v>
      </c>
      <c r="Q130" s="27" t="s">
        <v>14</v>
      </c>
      <c r="T130" s="27">
        <v>2</v>
      </c>
      <c r="U130" s="27" t="s">
        <v>382</v>
      </c>
      <c r="V130" s="27" t="s">
        <v>472</v>
      </c>
      <c r="W130" s="27" t="s">
        <v>0</v>
      </c>
      <c r="X130" s="27" t="s">
        <v>489</v>
      </c>
      <c r="Y130" s="27">
        <v>80</v>
      </c>
      <c r="Z130" s="27">
        <v>24.4</v>
      </c>
      <c r="AA130" s="93">
        <f>500/Z130</f>
        <v>20.491803278688526</v>
      </c>
      <c r="AB130" s="27" t="s">
        <v>543</v>
      </c>
      <c r="AC130" s="27" t="s">
        <v>37</v>
      </c>
      <c r="AD130" s="94" t="s">
        <v>480</v>
      </c>
    </row>
    <row r="131" spans="1:31">
      <c r="A131" s="4">
        <v>66</v>
      </c>
      <c r="B131" s="4" t="s">
        <v>463</v>
      </c>
      <c r="D131" s="4" t="s">
        <v>20</v>
      </c>
      <c r="E131" s="4">
        <v>1305</v>
      </c>
      <c r="F131" s="5" t="s">
        <v>82</v>
      </c>
      <c r="G131" s="5" t="s">
        <v>187</v>
      </c>
      <c r="I131" s="17" t="s">
        <v>187</v>
      </c>
      <c r="J131" s="4" t="s">
        <v>166</v>
      </c>
      <c r="K131" s="6" t="s">
        <v>179</v>
      </c>
      <c r="L131" s="8" t="s">
        <v>190</v>
      </c>
      <c r="M131" s="7">
        <v>25.581888888888887</v>
      </c>
      <c r="N131" s="7">
        <v>-107.57886111111111</v>
      </c>
      <c r="O131" s="4">
        <v>519</v>
      </c>
      <c r="P131" s="4" t="s">
        <v>15</v>
      </c>
      <c r="Q131" s="4" t="s">
        <v>14</v>
      </c>
      <c r="R131" s="4" t="s">
        <v>19</v>
      </c>
      <c r="S131" s="4">
        <v>50.8</v>
      </c>
      <c r="T131" s="22">
        <v>1</v>
      </c>
      <c r="U131" s="11" t="s">
        <v>94</v>
      </c>
      <c r="V131" s="22" t="s">
        <v>473</v>
      </c>
      <c r="W131" s="22" t="s">
        <v>473</v>
      </c>
      <c r="X131" s="22">
        <v>66</v>
      </c>
      <c r="Y131" s="4">
        <v>180</v>
      </c>
      <c r="Z131" s="26">
        <v>87.8</v>
      </c>
      <c r="AA131" s="25">
        <f>500/Z131</f>
        <v>5.6947608200455582</v>
      </c>
      <c r="AC131" s="4" t="s">
        <v>469</v>
      </c>
      <c r="AD131" s="12" t="s">
        <v>480</v>
      </c>
    </row>
    <row r="132" spans="1:31" s="22" customFormat="1">
      <c r="A132" s="22">
        <v>66</v>
      </c>
      <c r="D132" s="4" t="s">
        <v>20</v>
      </c>
      <c r="E132" s="4">
        <v>1305</v>
      </c>
      <c r="F132" s="5" t="s">
        <v>82</v>
      </c>
      <c r="G132" s="5" t="s">
        <v>187</v>
      </c>
      <c r="H132" s="18"/>
      <c r="I132" s="17" t="s">
        <v>187</v>
      </c>
      <c r="J132" s="4" t="s">
        <v>166</v>
      </c>
      <c r="K132" s="6" t="s">
        <v>179</v>
      </c>
      <c r="L132" s="8" t="s">
        <v>190</v>
      </c>
      <c r="M132" s="7">
        <v>25.581888888888887</v>
      </c>
      <c r="N132" s="7">
        <v>-107.57886111111111</v>
      </c>
      <c r="O132" s="4">
        <v>519</v>
      </c>
      <c r="P132" s="4" t="s">
        <v>15</v>
      </c>
      <c r="Q132" s="4" t="s">
        <v>14</v>
      </c>
      <c r="T132" s="22">
        <v>3</v>
      </c>
      <c r="U132" s="22" t="s">
        <v>384</v>
      </c>
      <c r="V132" s="4"/>
      <c r="W132" s="4"/>
      <c r="X132" s="4"/>
      <c r="Y132" s="4"/>
      <c r="AA132" s="25"/>
      <c r="AB132" s="4"/>
      <c r="AC132" s="4" t="s">
        <v>491</v>
      </c>
      <c r="AD132" s="4" t="s">
        <v>481</v>
      </c>
    </row>
    <row r="133" spans="1:31">
      <c r="A133" s="4">
        <v>67</v>
      </c>
      <c r="B133" s="4" t="s">
        <v>463</v>
      </c>
      <c r="D133" s="4" t="s">
        <v>10</v>
      </c>
      <c r="E133" s="4">
        <v>4102</v>
      </c>
      <c r="F133" s="5" t="s">
        <v>82</v>
      </c>
      <c r="G133" s="5" t="s">
        <v>187</v>
      </c>
      <c r="I133" s="17" t="s">
        <v>187</v>
      </c>
      <c r="J133" s="4" t="s">
        <v>166</v>
      </c>
      <c r="K133" s="6" t="s">
        <v>181</v>
      </c>
      <c r="L133" s="8" t="s">
        <v>182</v>
      </c>
      <c r="M133" s="7">
        <v>25.576599999999999</v>
      </c>
      <c r="N133" s="7">
        <v>-108.44835999999999</v>
      </c>
      <c r="O133" s="4">
        <v>22</v>
      </c>
      <c r="P133" s="4" t="s">
        <v>13</v>
      </c>
      <c r="Q133" s="4" t="s">
        <v>14</v>
      </c>
      <c r="R133" s="22"/>
      <c r="S133" s="22"/>
      <c r="T133" s="22">
        <v>1</v>
      </c>
      <c r="U133" s="22" t="s">
        <v>373</v>
      </c>
      <c r="V133" s="4" t="s">
        <v>473</v>
      </c>
      <c r="W133" s="4" t="s">
        <v>472</v>
      </c>
      <c r="X133" s="4" t="s">
        <v>489</v>
      </c>
      <c r="Y133" s="4">
        <v>45</v>
      </c>
      <c r="Z133" s="26">
        <v>52</v>
      </c>
      <c r="AA133" s="25">
        <f>500/Z133</f>
        <v>9.615384615384615</v>
      </c>
      <c r="AC133" s="22" t="s">
        <v>469</v>
      </c>
      <c r="AD133" s="47" t="s">
        <v>480</v>
      </c>
    </row>
    <row r="134" spans="1:31" s="22" customFormat="1" ht="15" customHeight="1">
      <c r="A134" s="22">
        <v>67</v>
      </c>
      <c r="B134" s="22" t="s">
        <v>463</v>
      </c>
      <c r="D134" s="4" t="s">
        <v>10</v>
      </c>
      <c r="E134" s="4">
        <v>4105</v>
      </c>
      <c r="F134" s="5" t="s">
        <v>82</v>
      </c>
      <c r="G134" s="5" t="s">
        <v>187</v>
      </c>
      <c r="H134" s="18"/>
      <c r="I134" s="17" t="s">
        <v>187</v>
      </c>
      <c r="J134" s="4" t="s">
        <v>166</v>
      </c>
      <c r="K134" s="6" t="s">
        <v>181</v>
      </c>
      <c r="L134" s="8" t="s">
        <v>191</v>
      </c>
      <c r="M134" s="7">
        <v>25.576599999999999</v>
      </c>
      <c r="N134" s="7">
        <v>-108.44835999999999</v>
      </c>
      <c r="O134" s="4">
        <v>22</v>
      </c>
      <c r="P134" s="4" t="s">
        <v>13</v>
      </c>
      <c r="Q134" s="4" t="s">
        <v>14</v>
      </c>
      <c r="R134" s="22" t="s">
        <v>328</v>
      </c>
      <c r="S134" s="22" t="s">
        <v>340</v>
      </c>
      <c r="T134" s="22">
        <v>1</v>
      </c>
      <c r="U134" s="22" t="s">
        <v>130</v>
      </c>
      <c r="V134" s="22" t="s">
        <v>473</v>
      </c>
      <c r="W134" s="22" t="s">
        <v>472</v>
      </c>
      <c r="X134" s="22">
        <v>67</v>
      </c>
      <c r="Y134" s="4">
        <v>250</v>
      </c>
      <c r="Z134" s="26">
        <v>59</v>
      </c>
      <c r="AA134" s="25">
        <f>500/Z134</f>
        <v>8.4745762711864412</v>
      </c>
      <c r="AB134" s="4"/>
      <c r="AC134" s="22" t="s">
        <v>469</v>
      </c>
      <c r="AD134" s="12" t="s">
        <v>480</v>
      </c>
      <c r="AE134" s="4"/>
    </row>
    <row r="135" spans="1:31">
      <c r="A135" s="4">
        <v>68</v>
      </c>
      <c r="B135" s="4" t="s">
        <v>463</v>
      </c>
      <c r="D135" s="4" t="s">
        <v>193</v>
      </c>
      <c r="E135" s="4">
        <v>546</v>
      </c>
      <c r="F135" s="5" t="s">
        <v>82</v>
      </c>
      <c r="G135" s="5" t="s">
        <v>187</v>
      </c>
      <c r="I135" s="17" t="s">
        <v>187</v>
      </c>
      <c r="J135" s="43" t="s">
        <v>194</v>
      </c>
      <c r="K135" s="36" t="s">
        <v>195</v>
      </c>
      <c r="L135" s="8" t="s">
        <v>196</v>
      </c>
      <c r="M135" s="7">
        <v>24.491582999999999</v>
      </c>
      <c r="N135" s="7">
        <v>-106.6035</v>
      </c>
      <c r="O135" s="4">
        <v>691</v>
      </c>
      <c r="Q135" s="4" t="s">
        <v>178</v>
      </c>
      <c r="R135" s="22"/>
      <c r="S135" s="22"/>
      <c r="T135" s="22">
        <v>1</v>
      </c>
      <c r="U135" s="22" t="s">
        <v>381</v>
      </c>
      <c r="V135" s="4" t="s">
        <v>473</v>
      </c>
      <c r="W135" s="4" t="s">
        <v>472</v>
      </c>
      <c r="X135" s="4" t="s">
        <v>489</v>
      </c>
      <c r="Y135" s="4">
        <v>20</v>
      </c>
      <c r="Z135" s="26">
        <v>64.599999999999994</v>
      </c>
      <c r="AA135" s="24">
        <f>500/Z135</f>
        <v>7.7399380804953566</v>
      </c>
      <c r="AC135" s="22" t="s">
        <v>470</v>
      </c>
      <c r="AD135" s="47" t="s">
        <v>480</v>
      </c>
    </row>
    <row r="136" spans="1:31">
      <c r="A136" s="28">
        <v>68</v>
      </c>
      <c r="B136" s="28"/>
      <c r="C136" s="28"/>
      <c r="D136" s="28" t="s">
        <v>193</v>
      </c>
      <c r="E136" s="28">
        <v>544</v>
      </c>
      <c r="F136" s="29" t="s">
        <v>82</v>
      </c>
      <c r="G136" s="29" t="s">
        <v>187</v>
      </c>
      <c r="H136" s="30"/>
      <c r="I136" s="31" t="s">
        <v>187</v>
      </c>
      <c r="J136" s="28" t="s">
        <v>166</v>
      </c>
      <c r="K136" s="32" t="s">
        <v>197</v>
      </c>
      <c r="L136" s="33" t="s">
        <v>198</v>
      </c>
      <c r="M136" s="34">
        <v>24.488111</v>
      </c>
      <c r="N136" s="34">
        <v>-106.639278</v>
      </c>
      <c r="O136" s="28">
        <v>630</v>
      </c>
      <c r="P136" s="28"/>
      <c r="Q136" s="28" t="s">
        <v>178</v>
      </c>
      <c r="R136" s="28" t="s">
        <v>19</v>
      </c>
      <c r="S136" s="28">
        <v>50.3</v>
      </c>
      <c r="T136" s="28"/>
      <c r="U136" s="28"/>
      <c r="V136" s="28" t="s">
        <v>0</v>
      </c>
      <c r="W136" s="28" t="s">
        <v>0</v>
      </c>
      <c r="X136" s="28">
        <v>68</v>
      </c>
      <c r="Y136" s="28">
        <v>150</v>
      </c>
      <c r="Z136" s="28">
        <v>2.38</v>
      </c>
      <c r="AA136" s="35">
        <f>500/Z136</f>
        <v>210.0840336134454</v>
      </c>
      <c r="AB136" s="28"/>
      <c r="AC136" s="28" t="s">
        <v>471</v>
      </c>
      <c r="AD136" s="2" t="s">
        <v>480</v>
      </c>
    </row>
    <row r="137" spans="1:31">
      <c r="A137" s="4">
        <v>69</v>
      </c>
      <c r="B137" s="4" t="s">
        <v>463</v>
      </c>
      <c r="D137" s="4" t="s">
        <v>10</v>
      </c>
      <c r="E137" s="4">
        <v>4065</v>
      </c>
      <c r="F137" s="5" t="s">
        <v>82</v>
      </c>
      <c r="G137" s="5" t="s">
        <v>199</v>
      </c>
      <c r="I137" s="17" t="s">
        <v>199</v>
      </c>
      <c r="J137" s="4" t="s">
        <v>166</v>
      </c>
      <c r="K137" s="6" t="s">
        <v>200</v>
      </c>
      <c r="L137" s="8" t="s">
        <v>201</v>
      </c>
      <c r="M137" s="7">
        <v>23.417459999999998</v>
      </c>
      <c r="N137" s="7">
        <v>-105.86532</v>
      </c>
      <c r="O137" s="4">
        <v>1226</v>
      </c>
      <c r="P137" s="4" t="s">
        <v>15</v>
      </c>
      <c r="Q137" s="4" t="s">
        <v>14</v>
      </c>
      <c r="R137" s="4" t="s">
        <v>51</v>
      </c>
      <c r="S137" s="4" t="s">
        <v>202</v>
      </c>
      <c r="T137" s="22">
        <v>2</v>
      </c>
      <c r="U137" s="22" t="s">
        <v>120</v>
      </c>
      <c r="V137" s="22" t="s">
        <v>473</v>
      </c>
      <c r="W137" s="22" t="s">
        <v>0</v>
      </c>
      <c r="X137" s="22">
        <v>69</v>
      </c>
      <c r="Y137" s="4">
        <v>240</v>
      </c>
      <c r="Z137" s="26">
        <v>27.2</v>
      </c>
      <c r="AA137" s="24">
        <f>500/Z137</f>
        <v>18.382352941176471</v>
      </c>
      <c r="AC137" s="22" t="s">
        <v>469</v>
      </c>
      <c r="AD137" s="12" t="s">
        <v>480</v>
      </c>
    </row>
    <row r="138" spans="1:31">
      <c r="A138" s="4">
        <v>69</v>
      </c>
      <c r="D138" s="4" t="s">
        <v>10</v>
      </c>
      <c r="E138" s="4">
        <v>4065</v>
      </c>
      <c r="F138" s="5" t="s">
        <v>82</v>
      </c>
      <c r="G138" s="5" t="s">
        <v>199</v>
      </c>
      <c r="I138" s="17" t="s">
        <v>199</v>
      </c>
      <c r="J138" s="4" t="s">
        <v>166</v>
      </c>
      <c r="K138" s="6" t="s">
        <v>200</v>
      </c>
      <c r="L138" s="8" t="s">
        <v>201</v>
      </c>
      <c r="M138" s="7">
        <v>23.417459999999998</v>
      </c>
      <c r="N138" s="7">
        <v>-105.86532</v>
      </c>
      <c r="O138" s="4">
        <v>1226</v>
      </c>
      <c r="P138" s="4" t="s">
        <v>15</v>
      </c>
      <c r="Q138" s="4" t="s">
        <v>14</v>
      </c>
      <c r="R138" s="22"/>
      <c r="S138" s="22"/>
      <c r="T138" s="22">
        <v>3</v>
      </c>
      <c r="U138" s="22" t="s">
        <v>385</v>
      </c>
      <c r="AC138" s="4" t="s">
        <v>491</v>
      </c>
      <c r="AD138" s="4" t="s">
        <v>481</v>
      </c>
    </row>
    <row r="139" spans="1:31">
      <c r="A139" s="22">
        <v>70</v>
      </c>
      <c r="B139" s="22" t="s">
        <v>463</v>
      </c>
      <c r="C139" s="22"/>
      <c r="D139" s="4" t="s">
        <v>54</v>
      </c>
      <c r="E139" s="4">
        <v>653</v>
      </c>
      <c r="F139" s="5" t="s">
        <v>82</v>
      </c>
      <c r="G139" s="5" t="s">
        <v>199</v>
      </c>
      <c r="I139" s="17" t="s">
        <v>199</v>
      </c>
      <c r="J139" s="4" t="s">
        <v>169</v>
      </c>
      <c r="K139" s="6" t="s">
        <v>203</v>
      </c>
      <c r="L139" s="8" t="s">
        <v>204</v>
      </c>
      <c r="M139" s="7">
        <v>21.125499999999999</v>
      </c>
      <c r="N139" s="7">
        <v>-105.16808</v>
      </c>
      <c r="O139" s="4">
        <v>70</v>
      </c>
      <c r="P139" s="4" t="s">
        <v>13</v>
      </c>
      <c r="Q139" s="4" t="s">
        <v>14</v>
      </c>
      <c r="R139" s="4" t="s">
        <v>19</v>
      </c>
      <c r="S139" s="4">
        <v>3.1</v>
      </c>
      <c r="T139" s="22">
        <v>1</v>
      </c>
      <c r="U139" s="22" t="s">
        <v>365</v>
      </c>
      <c r="V139" s="22" t="s">
        <v>473</v>
      </c>
      <c r="W139" s="22" t="s">
        <v>473</v>
      </c>
      <c r="X139" s="22">
        <v>70</v>
      </c>
      <c r="Y139" s="4">
        <v>90</v>
      </c>
      <c r="Z139" s="26">
        <v>102</v>
      </c>
      <c r="AA139" s="24">
        <f>500/Z139</f>
        <v>4.9019607843137258</v>
      </c>
      <c r="AC139" s="4" t="s">
        <v>470</v>
      </c>
      <c r="AD139" s="12" t="s">
        <v>480</v>
      </c>
    </row>
    <row r="140" spans="1:31" s="43" customFormat="1">
      <c r="A140" s="43">
        <v>70</v>
      </c>
      <c r="D140" s="43" t="s">
        <v>54</v>
      </c>
      <c r="E140" s="43">
        <v>664</v>
      </c>
      <c r="F140" s="72" t="s">
        <v>82</v>
      </c>
      <c r="G140" s="72" t="s">
        <v>199</v>
      </c>
      <c r="H140" s="73"/>
      <c r="I140" s="74" t="s">
        <v>199</v>
      </c>
      <c r="J140" s="43" t="s">
        <v>169</v>
      </c>
      <c r="K140" s="36" t="s">
        <v>203</v>
      </c>
      <c r="L140" s="75" t="s">
        <v>327</v>
      </c>
      <c r="M140" s="76">
        <v>21.221215000000001</v>
      </c>
      <c r="N140" s="76">
        <v>-105.015072</v>
      </c>
      <c r="O140" s="43">
        <v>436</v>
      </c>
      <c r="P140" s="43" t="s">
        <v>13</v>
      </c>
      <c r="Q140" s="43" t="s">
        <v>14</v>
      </c>
      <c r="T140" s="43">
        <v>3</v>
      </c>
      <c r="U140" s="43" t="s">
        <v>370</v>
      </c>
      <c r="AA140" s="77"/>
      <c r="AD140" s="43" t="s">
        <v>481</v>
      </c>
    </row>
    <row r="141" spans="1:31">
      <c r="A141" s="4">
        <v>71</v>
      </c>
      <c r="B141" s="4" t="s">
        <v>463</v>
      </c>
      <c r="D141" s="22" t="s">
        <v>10</v>
      </c>
      <c r="E141" s="22">
        <v>3782</v>
      </c>
      <c r="F141" s="1" t="s">
        <v>82</v>
      </c>
      <c r="G141" s="1" t="s">
        <v>199</v>
      </c>
      <c r="H141" s="19" t="s">
        <v>463</v>
      </c>
      <c r="I141" s="17" t="s">
        <v>199</v>
      </c>
      <c r="J141" s="4" t="s">
        <v>169</v>
      </c>
      <c r="K141" s="6" t="s">
        <v>205</v>
      </c>
      <c r="L141" s="8" t="s">
        <v>206</v>
      </c>
      <c r="M141" s="7">
        <v>21.951000000000001</v>
      </c>
      <c r="N141" s="7">
        <v>-105.22069999999999</v>
      </c>
      <c r="O141" s="4">
        <v>24</v>
      </c>
      <c r="P141" s="4" t="s">
        <v>13</v>
      </c>
      <c r="Q141" s="4" t="s">
        <v>14</v>
      </c>
      <c r="R141" s="4" t="s">
        <v>51</v>
      </c>
      <c r="S141" s="4" t="s">
        <v>207</v>
      </c>
      <c r="T141" s="22">
        <v>2</v>
      </c>
      <c r="U141" s="22" t="s">
        <v>46</v>
      </c>
      <c r="V141" s="4" t="s">
        <v>472</v>
      </c>
      <c r="W141" s="4" t="s">
        <v>472</v>
      </c>
      <c r="X141" s="22">
        <v>71</v>
      </c>
      <c r="Y141" s="4">
        <v>20</v>
      </c>
      <c r="Z141" s="26">
        <v>41.2</v>
      </c>
      <c r="AA141" s="24">
        <f>500/Z141</f>
        <v>12.135922330097086</v>
      </c>
      <c r="AC141" s="22" t="s">
        <v>470</v>
      </c>
      <c r="AD141" s="12" t="s">
        <v>480</v>
      </c>
    </row>
    <row r="142" spans="1:31">
      <c r="A142" s="4">
        <v>71</v>
      </c>
      <c r="B142" s="4" t="s">
        <v>463</v>
      </c>
      <c r="D142" s="4" t="s">
        <v>10</v>
      </c>
      <c r="E142" s="4">
        <v>3783</v>
      </c>
      <c r="F142" s="5" t="s">
        <v>82</v>
      </c>
      <c r="G142" s="5" t="s">
        <v>199</v>
      </c>
      <c r="I142" s="17" t="s">
        <v>199</v>
      </c>
      <c r="J142" s="4" t="s">
        <v>169</v>
      </c>
      <c r="K142" s="6" t="s">
        <v>205</v>
      </c>
      <c r="L142" s="8" t="s">
        <v>206</v>
      </c>
      <c r="M142" s="7">
        <v>21.951000000000001</v>
      </c>
      <c r="N142" s="7">
        <v>-105.22069999999999</v>
      </c>
      <c r="O142" s="4">
        <v>24</v>
      </c>
      <c r="P142" s="4" t="s">
        <v>15</v>
      </c>
      <c r="Q142" s="4" t="s">
        <v>14</v>
      </c>
      <c r="R142" s="22"/>
      <c r="S142" s="22"/>
      <c r="T142" s="22">
        <v>1</v>
      </c>
      <c r="U142" s="22" t="s">
        <v>319</v>
      </c>
      <c r="V142" s="37" t="s">
        <v>473</v>
      </c>
      <c r="W142" s="37" t="s">
        <v>472</v>
      </c>
      <c r="X142" s="37" t="s">
        <v>495</v>
      </c>
      <c r="Y142" s="37">
        <v>20</v>
      </c>
      <c r="Z142" s="45">
        <v>60</v>
      </c>
      <c r="AA142" s="24">
        <f>500/Z142</f>
        <v>8.3333333333333339</v>
      </c>
      <c r="AB142" s="37"/>
      <c r="AC142" s="44" t="s">
        <v>469</v>
      </c>
      <c r="AD142" s="48" t="s">
        <v>480</v>
      </c>
    </row>
    <row r="143" spans="1:31">
      <c r="A143" s="4">
        <v>72</v>
      </c>
      <c r="B143" s="4" t="s">
        <v>463</v>
      </c>
      <c r="D143" s="22" t="s">
        <v>10</v>
      </c>
      <c r="E143" s="22">
        <v>4091</v>
      </c>
      <c r="F143" s="1" t="s">
        <v>82</v>
      </c>
      <c r="G143" s="1" t="s">
        <v>199</v>
      </c>
      <c r="H143" s="19"/>
      <c r="I143" s="17" t="s">
        <v>199</v>
      </c>
      <c r="J143" s="4" t="s">
        <v>166</v>
      </c>
      <c r="K143" s="6" t="s">
        <v>167</v>
      </c>
      <c r="L143" s="8" t="s">
        <v>185</v>
      </c>
      <c r="M143" s="7">
        <v>23.34628</v>
      </c>
      <c r="N143" s="7">
        <v>-106.24372</v>
      </c>
      <c r="O143" s="4">
        <v>33</v>
      </c>
      <c r="P143" s="4" t="s">
        <v>13</v>
      </c>
      <c r="Q143" s="4" t="s">
        <v>14</v>
      </c>
      <c r="R143" s="4" t="s">
        <v>51</v>
      </c>
      <c r="S143" s="4" t="s">
        <v>208</v>
      </c>
      <c r="T143" s="22">
        <v>2</v>
      </c>
      <c r="U143" s="22" t="s">
        <v>64</v>
      </c>
      <c r="V143" s="22" t="s">
        <v>458</v>
      </c>
      <c r="W143" s="22" t="s">
        <v>472</v>
      </c>
      <c r="X143" s="22">
        <v>72</v>
      </c>
      <c r="Y143" s="4">
        <v>90</v>
      </c>
      <c r="Z143" s="26">
        <v>32.799999999999997</v>
      </c>
      <c r="AA143" s="24">
        <f>500/Z143</f>
        <v>15.243902439024392</v>
      </c>
      <c r="AC143" s="22" t="s">
        <v>469</v>
      </c>
      <c r="AD143" s="12" t="s">
        <v>480</v>
      </c>
    </row>
    <row r="144" spans="1:31" s="43" customFormat="1">
      <c r="A144" s="43">
        <v>72</v>
      </c>
      <c r="D144" s="43" t="s">
        <v>10</v>
      </c>
      <c r="E144" s="43">
        <v>4092</v>
      </c>
      <c r="F144" s="72" t="s">
        <v>82</v>
      </c>
      <c r="G144" s="72" t="s">
        <v>199</v>
      </c>
      <c r="H144" s="73"/>
      <c r="I144" s="74" t="s">
        <v>199</v>
      </c>
      <c r="J144" s="43" t="s">
        <v>166</v>
      </c>
      <c r="K144" s="36" t="s">
        <v>167</v>
      </c>
      <c r="L144" s="75" t="s">
        <v>185</v>
      </c>
      <c r="M144" s="76">
        <v>23.34628</v>
      </c>
      <c r="N144" s="76">
        <v>-106.24372</v>
      </c>
      <c r="O144" s="43">
        <v>33</v>
      </c>
      <c r="P144" s="43" t="s">
        <v>13</v>
      </c>
      <c r="Q144" s="43" t="s">
        <v>14</v>
      </c>
      <c r="T144" s="43">
        <v>3</v>
      </c>
      <c r="U144" s="43" t="s">
        <v>386</v>
      </c>
      <c r="AA144" s="77"/>
      <c r="AD144" s="43" t="s">
        <v>481</v>
      </c>
    </row>
    <row r="145" spans="1:31">
      <c r="A145" s="28">
        <v>73</v>
      </c>
      <c r="B145" s="28"/>
      <c r="C145" s="28"/>
      <c r="D145" s="28" t="s">
        <v>350</v>
      </c>
      <c r="E145" s="28">
        <v>156</v>
      </c>
      <c r="F145" s="29" t="s">
        <v>82</v>
      </c>
      <c r="G145" s="29" t="s">
        <v>199</v>
      </c>
      <c r="H145" s="30"/>
      <c r="I145" s="31"/>
      <c r="J145" s="28" t="s">
        <v>169</v>
      </c>
      <c r="K145" s="32"/>
      <c r="L145" s="33" t="s">
        <v>318</v>
      </c>
      <c r="M145" s="34">
        <v>21.844004999999999</v>
      </c>
      <c r="N145" s="34">
        <v>-105.884873</v>
      </c>
      <c r="O145" s="28" t="s">
        <v>25</v>
      </c>
      <c r="P145" s="28" t="s">
        <v>25</v>
      </c>
      <c r="Q145" s="28"/>
      <c r="R145" s="28" t="s">
        <v>328</v>
      </c>
      <c r="S145" s="28" t="s">
        <v>450</v>
      </c>
      <c r="T145" s="28"/>
      <c r="U145" s="28"/>
      <c r="V145" s="28" t="s">
        <v>0</v>
      </c>
      <c r="W145" s="28" t="s">
        <v>0</v>
      </c>
      <c r="X145" s="28">
        <v>73</v>
      </c>
      <c r="Y145" s="28">
        <v>250</v>
      </c>
      <c r="Z145" s="28">
        <v>2.42</v>
      </c>
      <c r="AA145" s="35">
        <f>500/Z145</f>
        <v>206.61157024793388</v>
      </c>
      <c r="AB145" s="28"/>
      <c r="AC145" s="28" t="s">
        <v>471</v>
      </c>
      <c r="AD145" s="2" t="s">
        <v>480</v>
      </c>
    </row>
    <row r="146" spans="1:31" s="43" customFormat="1">
      <c r="A146" s="43">
        <v>73</v>
      </c>
      <c r="D146" s="43" t="s">
        <v>317</v>
      </c>
      <c r="E146" s="43">
        <v>156</v>
      </c>
      <c r="F146" s="72" t="s">
        <v>82</v>
      </c>
      <c r="G146" s="72" t="s">
        <v>199</v>
      </c>
      <c r="H146" s="73"/>
      <c r="I146" s="74"/>
      <c r="J146" s="43" t="s">
        <v>169</v>
      </c>
      <c r="K146" s="36"/>
      <c r="L146" s="75" t="s">
        <v>318</v>
      </c>
      <c r="M146" s="76">
        <v>21.844004999999999</v>
      </c>
      <c r="N146" s="76">
        <v>-105.884873</v>
      </c>
      <c r="O146" s="43" t="s">
        <v>25</v>
      </c>
      <c r="P146" s="43" t="s">
        <v>25</v>
      </c>
      <c r="T146" s="43">
        <v>3</v>
      </c>
      <c r="U146" s="43" t="s">
        <v>314</v>
      </c>
      <c r="AA146" s="77"/>
      <c r="AD146" s="43" t="s">
        <v>481</v>
      </c>
    </row>
    <row r="147" spans="1:31">
      <c r="A147" s="4">
        <v>74</v>
      </c>
      <c r="B147" s="4" t="s">
        <v>463</v>
      </c>
      <c r="D147" s="22" t="s">
        <v>20</v>
      </c>
      <c r="E147" s="22">
        <v>1321</v>
      </c>
      <c r="F147" s="1" t="s">
        <v>82</v>
      </c>
      <c r="G147" s="1" t="s">
        <v>209</v>
      </c>
      <c r="H147" s="19"/>
      <c r="I147" s="17" t="s">
        <v>210</v>
      </c>
      <c r="J147" s="4" t="s">
        <v>211</v>
      </c>
      <c r="K147" s="6" t="s">
        <v>212</v>
      </c>
      <c r="L147" s="8" t="s">
        <v>213</v>
      </c>
      <c r="M147" s="7">
        <v>27.158999999999999</v>
      </c>
      <c r="N147" s="7">
        <v>-108.96222222222222</v>
      </c>
      <c r="O147" s="4">
        <v>205</v>
      </c>
      <c r="P147" s="4" t="s">
        <v>13</v>
      </c>
      <c r="Q147" s="4" t="s">
        <v>14</v>
      </c>
      <c r="R147" s="4" t="s">
        <v>19</v>
      </c>
      <c r="S147" s="4">
        <v>89.7</v>
      </c>
      <c r="T147" s="22">
        <v>1</v>
      </c>
      <c r="U147" s="22" t="s">
        <v>127</v>
      </c>
      <c r="V147" s="22" t="s">
        <v>458</v>
      </c>
      <c r="W147" s="22" t="s">
        <v>472</v>
      </c>
      <c r="X147" s="22">
        <v>74</v>
      </c>
      <c r="Y147" s="4">
        <v>150</v>
      </c>
      <c r="Z147" s="26">
        <v>100</v>
      </c>
      <c r="AA147" s="24">
        <f>500/Z147</f>
        <v>5</v>
      </c>
      <c r="AC147" s="4" t="s">
        <v>470</v>
      </c>
      <c r="AD147" s="12" t="s">
        <v>480</v>
      </c>
    </row>
    <row r="148" spans="1:31" s="43" customFormat="1">
      <c r="A148" s="43">
        <v>74</v>
      </c>
      <c r="D148" s="43" t="s">
        <v>20</v>
      </c>
      <c r="E148" s="43">
        <v>1322</v>
      </c>
      <c r="F148" s="72" t="s">
        <v>82</v>
      </c>
      <c r="G148" s="72" t="s">
        <v>209</v>
      </c>
      <c r="H148" s="73"/>
      <c r="I148" s="74" t="s">
        <v>210</v>
      </c>
      <c r="J148" s="43" t="s">
        <v>211</v>
      </c>
      <c r="K148" s="36" t="s">
        <v>212</v>
      </c>
      <c r="L148" s="75" t="s">
        <v>213</v>
      </c>
      <c r="M148" s="76">
        <v>27.158999999999999</v>
      </c>
      <c r="N148" s="76">
        <v>-108.96222222222222</v>
      </c>
      <c r="O148" s="43">
        <v>205</v>
      </c>
      <c r="P148" s="43" t="s">
        <v>25</v>
      </c>
      <c r="T148" s="43">
        <v>3</v>
      </c>
      <c r="U148" s="43" t="s">
        <v>363</v>
      </c>
      <c r="AA148" s="77"/>
      <c r="AD148" s="43" t="s">
        <v>481</v>
      </c>
    </row>
    <row r="149" spans="1:31" s="27" customFormat="1">
      <c r="A149" s="27">
        <v>75</v>
      </c>
      <c r="B149" s="27" t="s">
        <v>463</v>
      </c>
      <c r="D149" s="27" t="s">
        <v>10</v>
      </c>
      <c r="E149" s="27">
        <v>4109</v>
      </c>
      <c r="F149" s="87" t="s">
        <v>82</v>
      </c>
      <c r="G149" s="87" t="s">
        <v>209</v>
      </c>
      <c r="H149" s="88"/>
      <c r="I149" s="89" t="s">
        <v>210</v>
      </c>
      <c r="J149" s="27" t="s">
        <v>166</v>
      </c>
      <c r="K149" s="90" t="s">
        <v>214</v>
      </c>
      <c r="L149" s="91" t="s">
        <v>215</v>
      </c>
      <c r="M149" s="92">
        <v>26.096129999999999</v>
      </c>
      <c r="N149" s="92">
        <v>-108.75175</v>
      </c>
      <c r="O149" s="27">
        <v>72</v>
      </c>
      <c r="P149" s="27" t="s">
        <v>15</v>
      </c>
      <c r="Q149" s="27" t="s">
        <v>14</v>
      </c>
      <c r="T149" s="27">
        <v>2</v>
      </c>
      <c r="U149" s="27" t="s">
        <v>383</v>
      </c>
      <c r="V149" s="27" t="s">
        <v>473</v>
      </c>
      <c r="W149" s="27" t="s">
        <v>472</v>
      </c>
      <c r="X149" s="27" t="s">
        <v>541</v>
      </c>
      <c r="Y149" s="27">
        <v>116</v>
      </c>
      <c r="Z149" s="27">
        <v>38</v>
      </c>
      <c r="AA149" s="93">
        <f>500/Z149</f>
        <v>13.157894736842104</v>
      </c>
      <c r="AC149" s="27" t="s">
        <v>469</v>
      </c>
      <c r="AD149" s="27" t="s">
        <v>480</v>
      </c>
    </row>
    <row r="150" spans="1:31" ht="15" customHeight="1">
      <c r="A150" s="4">
        <v>75</v>
      </c>
      <c r="B150" s="4" t="s">
        <v>463</v>
      </c>
      <c r="D150" s="22" t="s">
        <v>10</v>
      </c>
      <c r="E150" s="22">
        <v>4110</v>
      </c>
      <c r="F150" s="1" t="s">
        <v>82</v>
      </c>
      <c r="G150" s="1" t="s">
        <v>209</v>
      </c>
      <c r="H150" s="19"/>
      <c r="I150" s="17" t="s">
        <v>210</v>
      </c>
      <c r="J150" s="4" t="s">
        <v>166</v>
      </c>
      <c r="K150" s="6" t="s">
        <v>214</v>
      </c>
      <c r="L150" s="8" t="s">
        <v>215</v>
      </c>
      <c r="M150" s="7">
        <v>26.096129999999999</v>
      </c>
      <c r="N150" s="7">
        <v>-108.75175</v>
      </c>
      <c r="O150" s="4">
        <v>72</v>
      </c>
      <c r="P150" s="4" t="s">
        <v>13</v>
      </c>
      <c r="Q150" s="4" t="s">
        <v>14</v>
      </c>
      <c r="R150" s="22" t="s">
        <v>328</v>
      </c>
      <c r="S150" s="22" t="s">
        <v>341</v>
      </c>
      <c r="T150" s="22">
        <v>1</v>
      </c>
      <c r="U150" s="22" t="s">
        <v>263</v>
      </c>
      <c r="V150" s="22" t="s">
        <v>473</v>
      </c>
      <c r="W150" s="22" t="s">
        <v>0</v>
      </c>
      <c r="X150" s="22">
        <v>75</v>
      </c>
      <c r="Y150" s="4">
        <v>250</v>
      </c>
      <c r="Z150" s="26">
        <v>81.2</v>
      </c>
      <c r="AA150" s="24">
        <f>500/Z150</f>
        <v>6.1576354679802954</v>
      </c>
      <c r="AC150" s="4" t="s">
        <v>469</v>
      </c>
      <c r="AD150" s="12" t="s">
        <v>480</v>
      </c>
    </row>
    <row r="151" spans="1:31">
      <c r="A151" s="22">
        <v>76</v>
      </c>
      <c r="B151" s="22" t="s">
        <v>463</v>
      </c>
      <c r="C151" s="22"/>
      <c r="D151" s="22" t="s">
        <v>10</v>
      </c>
      <c r="E151" s="22">
        <v>4118</v>
      </c>
      <c r="F151" s="1" t="s">
        <v>82</v>
      </c>
      <c r="G151" s="1" t="s">
        <v>209</v>
      </c>
      <c r="H151" s="19"/>
      <c r="I151" s="17" t="s">
        <v>210</v>
      </c>
      <c r="J151" s="4" t="s">
        <v>211</v>
      </c>
      <c r="K151" s="6" t="s">
        <v>212</v>
      </c>
      <c r="L151" s="8" t="s">
        <v>216</v>
      </c>
      <c r="M151" s="7">
        <v>26.853590000000001</v>
      </c>
      <c r="N151" s="7">
        <v>-108.96451999999999</v>
      </c>
      <c r="O151" s="4">
        <v>320</v>
      </c>
      <c r="P151" s="4" t="s">
        <v>13</v>
      </c>
      <c r="Q151" s="4" t="s">
        <v>14</v>
      </c>
      <c r="R151" s="22" t="s">
        <v>328</v>
      </c>
      <c r="S151" s="22" t="s">
        <v>342</v>
      </c>
      <c r="T151" s="22">
        <v>2</v>
      </c>
      <c r="U151" s="22" t="s">
        <v>139</v>
      </c>
      <c r="V151" s="22" t="s">
        <v>473</v>
      </c>
      <c r="W151" s="22" t="s">
        <v>472</v>
      </c>
      <c r="X151" s="22">
        <v>76</v>
      </c>
      <c r="Y151" s="4">
        <v>250</v>
      </c>
      <c r="Z151" s="26">
        <v>42.2</v>
      </c>
      <c r="AA151" s="24">
        <f>500/Z151</f>
        <v>11.848341232227487</v>
      </c>
      <c r="AC151" s="4" t="s">
        <v>469</v>
      </c>
      <c r="AD151" s="12" t="s">
        <v>480</v>
      </c>
    </row>
    <row r="152" spans="1:31" s="43" customFormat="1">
      <c r="A152" s="43">
        <v>76</v>
      </c>
      <c r="D152" s="43" t="s">
        <v>10</v>
      </c>
      <c r="E152" s="43">
        <v>4119</v>
      </c>
      <c r="F152" s="72" t="s">
        <v>82</v>
      </c>
      <c r="G152" s="72" t="s">
        <v>209</v>
      </c>
      <c r="H152" s="73"/>
      <c r="I152" s="74" t="s">
        <v>210</v>
      </c>
      <c r="J152" s="43" t="s">
        <v>211</v>
      </c>
      <c r="K152" s="36" t="s">
        <v>212</v>
      </c>
      <c r="L152" s="75" t="s">
        <v>216</v>
      </c>
      <c r="M152" s="76">
        <v>26.853590000000001</v>
      </c>
      <c r="N152" s="76">
        <v>-108.96451999999999</v>
      </c>
      <c r="O152" s="43">
        <v>320</v>
      </c>
      <c r="P152" s="43" t="s">
        <v>13</v>
      </c>
      <c r="Q152" s="43" t="s">
        <v>45</v>
      </c>
      <c r="T152" s="43">
        <v>3</v>
      </c>
      <c r="U152" s="43" t="s">
        <v>110</v>
      </c>
      <c r="AA152" s="77"/>
      <c r="AD152" s="43" t="s">
        <v>481</v>
      </c>
    </row>
    <row r="153" spans="1:31" ht="15" customHeight="1">
      <c r="A153" s="4">
        <v>77</v>
      </c>
      <c r="B153" s="4" t="s">
        <v>463</v>
      </c>
      <c r="D153" s="4" t="s">
        <v>10</v>
      </c>
      <c r="E153" s="4">
        <v>3769</v>
      </c>
      <c r="F153" s="5" t="s">
        <v>82</v>
      </c>
      <c r="G153" s="5" t="s">
        <v>209</v>
      </c>
      <c r="I153" s="17" t="s">
        <v>210</v>
      </c>
      <c r="J153" s="4" t="s">
        <v>166</v>
      </c>
      <c r="K153" s="6" t="s">
        <v>217</v>
      </c>
      <c r="L153" s="8" t="s">
        <v>218</v>
      </c>
      <c r="M153" s="7">
        <v>27.069929999999999</v>
      </c>
      <c r="N153" s="7">
        <v>-109.26976000000001</v>
      </c>
      <c r="O153" s="4">
        <v>136</v>
      </c>
      <c r="Q153" s="4" t="s">
        <v>16</v>
      </c>
      <c r="R153" s="22"/>
      <c r="S153" s="22"/>
      <c r="T153" s="22">
        <v>1</v>
      </c>
      <c r="U153" s="22" t="s">
        <v>367</v>
      </c>
      <c r="V153" s="4" t="s">
        <v>473</v>
      </c>
      <c r="W153" s="4" t="s">
        <v>472</v>
      </c>
      <c r="X153" s="4" t="s">
        <v>495</v>
      </c>
      <c r="Y153" s="4">
        <v>20</v>
      </c>
      <c r="Z153" s="26">
        <v>82.2</v>
      </c>
      <c r="AA153" s="25">
        <f>500/Z153</f>
        <v>6.0827250608272507</v>
      </c>
      <c r="AC153" s="22" t="s">
        <v>469</v>
      </c>
      <c r="AD153" s="47" t="s">
        <v>480</v>
      </c>
    </row>
    <row r="154" spans="1:31">
      <c r="A154" s="4">
        <v>77</v>
      </c>
      <c r="B154" s="4" t="s">
        <v>463</v>
      </c>
      <c r="D154" s="22" t="s">
        <v>10</v>
      </c>
      <c r="E154" s="22">
        <v>3770</v>
      </c>
      <c r="F154" s="1" t="s">
        <v>82</v>
      </c>
      <c r="G154" s="1" t="s">
        <v>209</v>
      </c>
      <c r="H154" s="19" t="s">
        <v>463</v>
      </c>
      <c r="I154" s="17" t="s">
        <v>210</v>
      </c>
      <c r="J154" s="4" t="s">
        <v>166</v>
      </c>
      <c r="K154" s="6" t="s">
        <v>217</v>
      </c>
      <c r="L154" s="8" t="s">
        <v>218</v>
      </c>
      <c r="M154" s="7">
        <v>27.069929999999999</v>
      </c>
      <c r="N154" s="7">
        <v>-109.26976000000001</v>
      </c>
      <c r="O154" s="4">
        <v>136</v>
      </c>
      <c r="P154" s="4" t="s">
        <v>15</v>
      </c>
      <c r="Q154" s="4" t="s">
        <v>16</v>
      </c>
      <c r="R154" s="22" t="s">
        <v>328</v>
      </c>
      <c r="S154" s="22" t="s">
        <v>374</v>
      </c>
      <c r="T154" s="22">
        <v>2</v>
      </c>
      <c r="U154" s="22" t="s">
        <v>273</v>
      </c>
      <c r="V154" s="22" t="s">
        <v>458</v>
      </c>
      <c r="W154" s="22" t="s">
        <v>472</v>
      </c>
      <c r="X154" s="22">
        <v>77</v>
      </c>
      <c r="Y154" s="4">
        <v>250</v>
      </c>
      <c r="Z154" s="26">
        <v>29.8</v>
      </c>
      <c r="AA154" s="24">
        <f>500/Z154</f>
        <v>16.778523489932887</v>
      </c>
      <c r="AC154" s="4" t="s">
        <v>469</v>
      </c>
      <c r="AD154" s="12" t="s">
        <v>480</v>
      </c>
    </row>
    <row r="155" spans="1:31">
      <c r="A155" s="4">
        <v>78</v>
      </c>
      <c r="B155" s="4" t="s">
        <v>463</v>
      </c>
      <c r="D155" s="22" t="s">
        <v>10</v>
      </c>
      <c r="E155" s="22">
        <v>3759</v>
      </c>
      <c r="F155" s="1" t="s">
        <v>82</v>
      </c>
      <c r="G155" s="1" t="s">
        <v>209</v>
      </c>
      <c r="H155" s="19"/>
      <c r="I155" s="17" t="s">
        <v>210</v>
      </c>
      <c r="J155" s="4" t="s">
        <v>211</v>
      </c>
      <c r="K155" s="6" t="s">
        <v>220</v>
      </c>
      <c r="L155" s="8" t="s">
        <v>221</v>
      </c>
      <c r="M155" s="7">
        <v>26.320979999999999</v>
      </c>
      <c r="N155" s="7">
        <v>-109.09316</v>
      </c>
      <c r="O155" s="4">
        <v>34</v>
      </c>
      <c r="P155" s="4" t="s">
        <v>13</v>
      </c>
      <c r="Q155" s="4" t="s">
        <v>16</v>
      </c>
      <c r="R155" s="22" t="s">
        <v>328</v>
      </c>
      <c r="S155" s="22" t="s">
        <v>343</v>
      </c>
      <c r="T155" s="22">
        <v>2</v>
      </c>
      <c r="U155" s="22" t="s">
        <v>243</v>
      </c>
      <c r="V155" s="4" t="s">
        <v>472</v>
      </c>
      <c r="W155" s="4" t="s">
        <v>0</v>
      </c>
      <c r="X155" s="22">
        <v>78</v>
      </c>
      <c r="Y155" s="4">
        <v>19</v>
      </c>
      <c r="Z155" s="26">
        <v>37.200000000000003</v>
      </c>
      <c r="AA155" s="24">
        <f>500/Z155</f>
        <v>13.440860215053762</v>
      </c>
      <c r="AB155" s="22"/>
      <c r="AC155" s="22" t="s">
        <v>469</v>
      </c>
      <c r="AD155" s="12" t="s">
        <v>480</v>
      </c>
    </row>
    <row r="156" spans="1:31">
      <c r="A156" s="22">
        <v>78</v>
      </c>
      <c r="B156" s="22"/>
      <c r="C156" s="22"/>
      <c r="D156" s="4" t="s">
        <v>10</v>
      </c>
      <c r="E156" s="4">
        <v>3759</v>
      </c>
      <c r="F156" s="5" t="s">
        <v>82</v>
      </c>
      <c r="G156" s="5" t="s">
        <v>209</v>
      </c>
      <c r="I156" s="17" t="s">
        <v>210</v>
      </c>
      <c r="J156" s="4" t="s">
        <v>211</v>
      </c>
      <c r="K156" s="6" t="s">
        <v>220</v>
      </c>
      <c r="L156" s="8" t="s">
        <v>221</v>
      </c>
      <c r="M156" s="7">
        <v>26.320979999999999</v>
      </c>
      <c r="N156" s="7">
        <v>-109.09316</v>
      </c>
      <c r="O156" s="4">
        <v>34</v>
      </c>
      <c r="P156" s="4" t="s">
        <v>13</v>
      </c>
      <c r="Q156" s="4" t="s">
        <v>16</v>
      </c>
      <c r="R156" s="22"/>
      <c r="S156" s="22"/>
      <c r="T156" s="22">
        <v>3</v>
      </c>
      <c r="U156" s="22" t="s">
        <v>19</v>
      </c>
      <c r="AC156" s="4" t="s">
        <v>491</v>
      </c>
      <c r="AD156" s="4" t="s">
        <v>481</v>
      </c>
    </row>
    <row r="157" spans="1:31" ht="15" customHeight="1">
      <c r="A157" s="28">
        <v>79</v>
      </c>
      <c r="B157" s="28"/>
      <c r="C157" s="28"/>
      <c r="D157" s="28" t="s">
        <v>54</v>
      </c>
      <c r="E157" s="28">
        <v>723</v>
      </c>
      <c r="F157" s="29" t="s">
        <v>82</v>
      </c>
      <c r="G157" s="29" t="s">
        <v>223</v>
      </c>
      <c r="H157" s="30"/>
      <c r="I157" s="31" t="s">
        <v>223</v>
      </c>
      <c r="J157" s="28" t="s">
        <v>224</v>
      </c>
      <c r="K157" s="32" t="s">
        <v>225</v>
      </c>
      <c r="L157" s="33" t="s">
        <v>226</v>
      </c>
      <c r="M157" s="34">
        <v>27.00658</v>
      </c>
      <c r="N157" s="34">
        <v>-108.12708000000001</v>
      </c>
      <c r="O157" s="28">
        <v>1035</v>
      </c>
      <c r="P157" s="28" t="s">
        <v>15</v>
      </c>
      <c r="Q157" s="28" t="s">
        <v>45</v>
      </c>
      <c r="R157" s="28" t="s">
        <v>19</v>
      </c>
      <c r="S157" s="28">
        <v>4.0999999999999996</v>
      </c>
      <c r="T157" s="28"/>
      <c r="U157" s="28"/>
      <c r="V157" s="28" t="s">
        <v>0</v>
      </c>
      <c r="W157" s="28" t="s">
        <v>0</v>
      </c>
      <c r="X157" s="28">
        <v>79</v>
      </c>
      <c r="Y157" s="28">
        <v>100</v>
      </c>
      <c r="Z157" s="28">
        <v>3.74</v>
      </c>
      <c r="AA157" s="35">
        <f>500/Z157</f>
        <v>133.68983957219251</v>
      </c>
      <c r="AB157" s="28"/>
      <c r="AC157" s="28" t="s">
        <v>471</v>
      </c>
      <c r="AD157" s="2" t="s">
        <v>480</v>
      </c>
    </row>
    <row r="158" spans="1:31" s="43" customFormat="1">
      <c r="A158" s="43">
        <v>79</v>
      </c>
      <c r="D158" s="43" t="s">
        <v>54</v>
      </c>
      <c r="E158" s="43">
        <v>723</v>
      </c>
      <c r="F158" s="72" t="s">
        <v>82</v>
      </c>
      <c r="G158" s="72" t="s">
        <v>223</v>
      </c>
      <c r="H158" s="73"/>
      <c r="I158" s="74" t="s">
        <v>223</v>
      </c>
      <c r="J158" s="43" t="s">
        <v>224</v>
      </c>
      <c r="K158" s="36" t="s">
        <v>225</v>
      </c>
      <c r="L158" s="75" t="s">
        <v>226</v>
      </c>
      <c r="M158" s="76">
        <v>27.00658</v>
      </c>
      <c r="N158" s="76">
        <v>-108.12708000000001</v>
      </c>
      <c r="O158" s="43">
        <v>1035</v>
      </c>
      <c r="P158" s="43" t="s">
        <v>15</v>
      </c>
      <c r="Q158" s="43" t="s">
        <v>45</v>
      </c>
      <c r="T158" s="43">
        <v>3</v>
      </c>
      <c r="U158" s="43" t="s">
        <v>51</v>
      </c>
      <c r="AA158" s="77"/>
      <c r="AD158" s="43" t="s">
        <v>481</v>
      </c>
    </row>
    <row r="159" spans="1:31">
      <c r="A159" s="4">
        <v>80</v>
      </c>
      <c r="B159" s="4" t="s">
        <v>463</v>
      </c>
      <c r="D159" s="22" t="s">
        <v>10</v>
      </c>
      <c r="E159" s="22">
        <v>4155</v>
      </c>
      <c r="F159" s="1" t="s">
        <v>82</v>
      </c>
      <c r="G159" s="1" t="s">
        <v>227</v>
      </c>
      <c r="H159" s="19"/>
      <c r="I159" s="17" t="s">
        <v>227</v>
      </c>
      <c r="J159" s="4" t="s">
        <v>211</v>
      </c>
      <c r="K159" s="6" t="s">
        <v>228</v>
      </c>
      <c r="L159" s="8" t="s">
        <v>229</v>
      </c>
      <c r="M159" s="7">
        <v>28.39348</v>
      </c>
      <c r="N159" s="7">
        <v>-108.79783</v>
      </c>
      <c r="O159" s="4">
        <v>1618</v>
      </c>
      <c r="P159" s="4" t="s">
        <v>13</v>
      </c>
      <c r="Q159" s="4" t="s">
        <v>14</v>
      </c>
      <c r="R159" s="22" t="s">
        <v>328</v>
      </c>
      <c r="S159" s="22" t="s">
        <v>344</v>
      </c>
      <c r="T159" s="22">
        <v>2</v>
      </c>
      <c r="U159" s="22" t="s">
        <v>378</v>
      </c>
      <c r="V159" s="22" t="s">
        <v>473</v>
      </c>
      <c r="W159" s="22" t="s">
        <v>0</v>
      </c>
      <c r="X159" s="22">
        <v>80</v>
      </c>
      <c r="Y159" s="4">
        <v>250</v>
      </c>
      <c r="Z159" s="26">
        <v>23.6</v>
      </c>
      <c r="AA159" s="24">
        <f>500/Z159</f>
        <v>21.1864406779661</v>
      </c>
      <c r="AC159" s="4" t="s">
        <v>469</v>
      </c>
      <c r="AD159" s="12" t="s">
        <v>480</v>
      </c>
    </row>
    <row r="160" spans="1:31" s="22" customFormat="1">
      <c r="A160" s="22">
        <v>80</v>
      </c>
      <c r="D160" s="4" t="s">
        <v>10</v>
      </c>
      <c r="E160" s="4">
        <v>4155</v>
      </c>
      <c r="F160" s="5" t="s">
        <v>82</v>
      </c>
      <c r="G160" s="5" t="s">
        <v>227</v>
      </c>
      <c r="H160" s="18"/>
      <c r="I160" s="17" t="s">
        <v>227</v>
      </c>
      <c r="J160" s="4" t="s">
        <v>211</v>
      </c>
      <c r="K160" s="6" t="s">
        <v>228</v>
      </c>
      <c r="L160" s="8" t="s">
        <v>229</v>
      </c>
      <c r="M160" s="7">
        <v>28.39348</v>
      </c>
      <c r="N160" s="7">
        <v>-108.79783</v>
      </c>
      <c r="O160" s="4">
        <v>1618</v>
      </c>
      <c r="P160" s="4" t="s">
        <v>13</v>
      </c>
      <c r="Q160" s="4" t="s">
        <v>14</v>
      </c>
      <c r="T160" s="22">
        <v>3</v>
      </c>
      <c r="U160" s="22" t="s">
        <v>328</v>
      </c>
      <c r="V160" s="4"/>
      <c r="W160" s="4"/>
      <c r="X160" s="4"/>
      <c r="Y160" s="4"/>
      <c r="AA160" s="25"/>
      <c r="AB160" s="4"/>
      <c r="AC160" s="4" t="s">
        <v>491</v>
      </c>
      <c r="AD160" s="4" t="s">
        <v>481</v>
      </c>
      <c r="AE160" s="4"/>
    </row>
    <row r="161" spans="1:31">
      <c r="A161" s="4">
        <v>81</v>
      </c>
      <c r="B161" s="4" t="s">
        <v>463</v>
      </c>
      <c r="D161" s="22" t="s">
        <v>10</v>
      </c>
      <c r="E161" s="22">
        <v>3767</v>
      </c>
      <c r="F161" s="1" t="s">
        <v>233</v>
      </c>
      <c r="G161" s="1"/>
      <c r="H161" s="19"/>
      <c r="J161" s="4" t="s">
        <v>211</v>
      </c>
      <c r="K161" s="6" t="s">
        <v>231</v>
      </c>
      <c r="L161" s="8" t="s">
        <v>232</v>
      </c>
      <c r="M161" s="7">
        <v>27.953720000000001</v>
      </c>
      <c r="N161" s="7">
        <v>-110.89934</v>
      </c>
      <c r="O161" s="4">
        <v>233</v>
      </c>
      <c r="Q161" s="4" t="s">
        <v>16</v>
      </c>
      <c r="R161" s="4" t="s">
        <v>51</v>
      </c>
      <c r="S161" s="4" t="s">
        <v>234</v>
      </c>
      <c r="T161" s="22">
        <v>2</v>
      </c>
      <c r="U161" s="22" t="s">
        <v>363</v>
      </c>
      <c r="V161" s="4" t="s">
        <v>473</v>
      </c>
      <c r="W161" s="4" t="s">
        <v>458</v>
      </c>
      <c r="X161" s="22">
        <v>81</v>
      </c>
      <c r="Y161" s="4">
        <v>20</v>
      </c>
      <c r="Z161" s="26">
        <v>42.4</v>
      </c>
      <c r="AA161" s="24">
        <f>500/Z161</f>
        <v>11.79245283018868</v>
      </c>
      <c r="AC161" s="22" t="s">
        <v>469</v>
      </c>
      <c r="AD161" s="12" t="s">
        <v>480</v>
      </c>
    </row>
    <row r="162" spans="1:31" s="43" customFormat="1">
      <c r="A162" s="43">
        <v>81</v>
      </c>
      <c r="D162" s="43" t="s">
        <v>20</v>
      </c>
      <c r="E162" s="43">
        <v>2566</v>
      </c>
      <c r="F162" s="72" t="s">
        <v>233</v>
      </c>
      <c r="G162" s="72"/>
      <c r="H162" s="73"/>
      <c r="I162" s="74"/>
      <c r="J162" s="43" t="s">
        <v>211</v>
      </c>
      <c r="K162" s="36" t="s">
        <v>231</v>
      </c>
      <c r="L162" s="75" t="s">
        <v>235</v>
      </c>
      <c r="M162" s="76">
        <v>28.01567</v>
      </c>
      <c r="N162" s="76">
        <v>-111.04944999999999</v>
      </c>
      <c r="O162" s="43">
        <v>121</v>
      </c>
      <c r="P162" s="43" t="s">
        <v>13</v>
      </c>
      <c r="Q162" s="43" t="s">
        <v>25</v>
      </c>
      <c r="T162" s="43">
        <v>3</v>
      </c>
      <c r="U162" s="43" t="s">
        <v>297</v>
      </c>
      <c r="AA162" s="77"/>
      <c r="AD162" s="43" t="s">
        <v>481</v>
      </c>
    </row>
    <row r="163" spans="1:31">
      <c r="A163" s="22">
        <v>82</v>
      </c>
      <c r="B163" s="22" t="s">
        <v>463</v>
      </c>
      <c r="C163" s="22"/>
      <c r="D163" s="22" t="s">
        <v>20</v>
      </c>
      <c r="E163" s="22">
        <v>2567</v>
      </c>
      <c r="F163" s="1" t="s">
        <v>233</v>
      </c>
      <c r="G163" s="1"/>
      <c r="H163" s="19" t="s">
        <v>463</v>
      </c>
      <c r="J163" s="4" t="s">
        <v>211</v>
      </c>
      <c r="K163" s="6" t="s">
        <v>231</v>
      </c>
      <c r="L163" s="8" t="s">
        <v>235</v>
      </c>
      <c r="M163" s="7">
        <v>28.01567</v>
      </c>
      <c r="N163" s="7">
        <v>-111.04944999999999</v>
      </c>
      <c r="O163" s="4">
        <v>121</v>
      </c>
      <c r="P163" s="4" t="s">
        <v>13</v>
      </c>
      <c r="Q163" s="4" t="s">
        <v>14</v>
      </c>
      <c r="R163" s="22" t="s">
        <v>328</v>
      </c>
      <c r="S163" s="22" t="s">
        <v>351</v>
      </c>
      <c r="T163" s="22">
        <v>1</v>
      </c>
      <c r="U163" s="22" t="s">
        <v>377</v>
      </c>
      <c r="V163" s="22" t="s">
        <v>473</v>
      </c>
      <c r="W163" s="22" t="s">
        <v>472</v>
      </c>
      <c r="X163" s="22">
        <v>82</v>
      </c>
      <c r="Y163" s="4">
        <v>250</v>
      </c>
      <c r="Z163" s="26">
        <v>68.8</v>
      </c>
      <c r="AA163" s="24">
        <f>500/Z163</f>
        <v>7.2674418604651168</v>
      </c>
      <c r="AC163" s="4" t="s">
        <v>469</v>
      </c>
      <c r="AD163" s="12" t="s">
        <v>480</v>
      </c>
    </row>
    <row r="164" spans="1:31">
      <c r="A164" s="4">
        <v>82</v>
      </c>
      <c r="B164" s="4" t="s">
        <v>463</v>
      </c>
      <c r="D164" s="4" t="s">
        <v>10</v>
      </c>
      <c r="E164" s="4">
        <v>1422</v>
      </c>
      <c r="F164" s="5" t="s">
        <v>239</v>
      </c>
      <c r="G164" s="5" t="s">
        <v>246</v>
      </c>
      <c r="J164" s="4" t="s">
        <v>194</v>
      </c>
      <c r="K164" s="6" t="s">
        <v>347</v>
      </c>
      <c r="L164" s="8" t="s">
        <v>329</v>
      </c>
      <c r="M164" s="7">
        <v>25.217611111111111</v>
      </c>
      <c r="N164" s="7">
        <v>-103.56069444444444</v>
      </c>
      <c r="O164" s="4">
        <v>1265</v>
      </c>
      <c r="P164" s="4" t="s">
        <v>25</v>
      </c>
      <c r="R164" s="22"/>
      <c r="S164" s="22"/>
      <c r="T164" s="22">
        <v>2</v>
      </c>
      <c r="U164" s="22" t="s">
        <v>369</v>
      </c>
      <c r="V164" s="4" t="s">
        <v>473</v>
      </c>
      <c r="W164" s="4" t="s">
        <v>0</v>
      </c>
      <c r="X164" s="4" t="s">
        <v>489</v>
      </c>
      <c r="Y164" s="4">
        <v>45</v>
      </c>
      <c r="Z164" s="26">
        <v>23.8</v>
      </c>
      <c r="AA164" s="25">
        <f>500/Z164</f>
        <v>21.008403361344538</v>
      </c>
      <c r="AC164" s="22" t="s">
        <v>469</v>
      </c>
      <c r="AD164" s="47" t="s">
        <v>480</v>
      </c>
    </row>
    <row r="165" spans="1:31" s="56" customFormat="1">
      <c r="A165" s="4">
        <v>83</v>
      </c>
      <c r="B165" s="4" t="s">
        <v>463</v>
      </c>
      <c r="C165" s="4"/>
      <c r="D165" s="22" t="s">
        <v>10</v>
      </c>
      <c r="E165" s="22">
        <v>1413</v>
      </c>
      <c r="F165" s="1" t="s">
        <v>239</v>
      </c>
      <c r="G165" s="1" t="s">
        <v>246</v>
      </c>
      <c r="H165" s="19" t="s">
        <v>463</v>
      </c>
      <c r="I165" s="18"/>
      <c r="J165" s="4" t="s">
        <v>194</v>
      </c>
      <c r="K165" s="6" t="s">
        <v>290</v>
      </c>
      <c r="L165" s="8" t="s">
        <v>240</v>
      </c>
      <c r="M165" s="7">
        <v>25.066055555555558</v>
      </c>
      <c r="N165" s="7">
        <v>-103.7756111111111</v>
      </c>
      <c r="O165" s="4">
        <v>1389</v>
      </c>
      <c r="P165" s="4"/>
      <c r="Q165" s="4"/>
      <c r="R165" s="22" t="s">
        <v>328</v>
      </c>
      <c r="S165" s="22" t="s">
        <v>352</v>
      </c>
      <c r="T165" s="22">
        <v>2</v>
      </c>
      <c r="U165" s="22" t="s">
        <v>19</v>
      </c>
      <c r="V165" s="22" t="s">
        <v>478</v>
      </c>
      <c r="W165" s="22" t="s">
        <v>458</v>
      </c>
      <c r="X165" s="22">
        <v>83</v>
      </c>
      <c r="Y165" s="4">
        <v>250</v>
      </c>
      <c r="Z165" s="26">
        <v>41.6</v>
      </c>
      <c r="AA165" s="24">
        <f>500/Z165</f>
        <v>12.019230769230768</v>
      </c>
      <c r="AB165" s="4"/>
      <c r="AC165" s="22" t="s">
        <v>470</v>
      </c>
      <c r="AD165" s="12" t="s">
        <v>480</v>
      </c>
      <c r="AE165" s="4"/>
    </row>
    <row r="166" spans="1:31" s="43" customFormat="1">
      <c r="A166" s="43">
        <v>83</v>
      </c>
      <c r="D166" s="43" t="s">
        <v>10</v>
      </c>
      <c r="E166" s="43">
        <v>1507</v>
      </c>
      <c r="F166" s="72" t="s">
        <v>239</v>
      </c>
      <c r="G166" s="72" t="s">
        <v>345</v>
      </c>
      <c r="H166" s="73"/>
      <c r="I166" s="74"/>
      <c r="J166" s="43" t="s">
        <v>241</v>
      </c>
      <c r="K166" s="36" t="s">
        <v>348</v>
      </c>
      <c r="L166" s="75" t="s">
        <v>242</v>
      </c>
      <c r="M166" s="76">
        <v>26.371444444444446</v>
      </c>
      <c r="N166" s="76">
        <v>-101.44194444444445</v>
      </c>
      <c r="O166" s="43">
        <v>1137</v>
      </c>
      <c r="P166" s="43" t="s">
        <v>25</v>
      </c>
      <c r="T166" s="43">
        <v>3</v>
      </c>
      <c r="U166" s="43" t="s">
        <v>46</v>
      </c>
      <c r="AA166" s="77"/>
      <c r="AD166" s="43" t="s">
        <v>481</v>
      </c>
    </row>
    <row r="167" spans="1:31" ht="15" customHeight="1">
      <c r="A167" s="4">
        <v>84</v>
      </c>
      <c r="B167" s="4" t="s">
        <v>463</v>
      </c>
      <c r="D167" s="4" t="s">
        <v>10</v>
      </c>
      <c r="E167" s="4">
        <v>1846</v>
      </c>
      <c r="F167" s="5" t="s">
        <v>300</v>
      </c>
      <c r="G167" s="5" t="s">
        <v>300</v>
      </c>
      <c r="J167" s="4" t="s">
        <v>298</v>
      </c>
      <c r="K167" s="6" t="s">
        <v>302</v>
      </c>
      <c r="L167" s="8" t="s">
        <v>299</v>
      </c>
      <c r="M167" s="7">
        <v>20.138527777777778</v>
      </c>
      <c r="N167" s="7">
        <v>-90.185250000000011</v>
      </c>
      <c r="O167" s="4">
        <v>2</v>
      </c>
      <c r="P167" s="4" t="s">
        <v>25</v>
      </c>
      <c r="R167" s="22"/>
      <c r="S167" s="22"/>
      <c r="T167" s="22">
        <v>1</v>
      </c>
      <c r="U167" s="22" t="s">
        <v>139</v>
      </c>
      <c r="V167" s="4" t="s">
        <v>473</v>
      </c>
      <c r="W167" s="4" t="s">
        <v>458</v>
      </c>
      <c r="X167" s="4" t="s">
        <v>489</v>
      </c>
      <c r="Y167" s="4" t="s">
        <v>493</v>
      </c>
      <c r="Z167" s="26">
        <v>116</v>
      </c>
      <c r="AA167" s="25">
        <f>500/Z167</f>
        <v>4.3103448275862073</v>
      </c>
      <c r="AC167" s="22" t="s">
        <v>470</v>
      </c>
      <c r="AD167" s="47" t="s">
        <v>480</v>
      </c>
    </row>
    <row r="168" spans="1:31">
      <c r="A168" s="4">
        <v>84</v>
      </c>
      <c r="B168" s="4" t="s">
        <v>463</v>
      </c>
      <c r="D168" s="4" t="s">
        <v>10</v>
      </c>
      <c r="E168" s="4">
        <v>1506</v>
      </c>
      <c r="F168" s="5" t="s">
        <v>239</v>
      </c>
      <c r="G168" s="5" t="s">
        <v>345</v>
      </c>
      <c r="J168" s="4" t="s">
        <v>241</v>
      </c>
      <c r="K168" s="6" t="s">
        <v>348</v>
      </c>
      <c r="L168" s="8" t="s">
        <v>242</v>
      </c>
      <c r="M168" s="7">
        <v>26.371444444444446</v>
      </c>
      <c r="N168" s="7">
        <v>-101.44194444444445</v>
      </c>
      <c r="O168" s="4">
        <v>1137</v>
      </c>
      <c r="R168" s="22" t="s">
        <v>328</v>
      </c>
      <c r="S168" s="22" t="s">
        <v>353</v>
      </c>
      <c r="T168" s="22">
        <v>1</v>
      </c>
      <c r="U168" s="22" t="s">
        <v>311</v>
      </c>
      <c r="V168" s="22" t="s">
        <v>478</v>
      </c>
      <c r="W168" s="38" t="s">
        <v>472</v>
      </c>
      <c r="X168" s="38">
        <v>84</v>
      </c>
      <c r="Y168" s="39">
        <v>250</v>
      </c>
      <c r="Z168" s="40">
        <v>47.2</v>
      </c>
      <c r="AA168" s="66">
        <f>500/Z168</f>
        <v>10.59322033898305</v>
      </c>
      <c r="AB168" s="39"/>
      <c r="AC168" s="38" t="s">
        <v>469</v>
      </c>
      <c r="AD168" s="12" t="s">
        <v>480</v>
      </c>
    </row>
    <row r="169" spans="1:31">
      <c r="A169" s="22">
        <v>85</v>
      </c>
      <c r="B169" s="22" t="s">
        <v>463</v>
      </c>
      <c r="C169" s="22"/>
      <c r="D169" s="4" t="s">
        <v>10</v>
      </c>
      <c r="E169" s="4">
        <v>4202</v>
      </c>
      <c r="F169" s="5" t="s">
        <v>239</v>
      </c>
      <c r="G169" s="5" t="s">
        <v>247</v>
      </c>
      <c r="J169" s="4" t="s">
        <v>224</v>
      </c>
      <c r="K169" s="6" t="s">
        <v>244</v>
      </c>
      <c r="L169" s="8" t="s">
        <v>245</v>
      </c>
      <c r="M169" s="7">
        <v>27.112729999999999</v>
      </c>
      <c r="N169" s="7">
        <v>-105.02663</v>
      </c>
      <c r="O169" s="4">
        <v>1381</v>
      </c>
      <c r="R169" s="22" t="s">
        <v>328</v>
      </c>
      <c r="S169" s="22" t="s">
        <v>354</v>
      </c>
      <c r="T169" s="22">
        <v>1</v>
      </c>
      <c r="U169" s="22" t="s">
        <v>383</v>
      </c>
      <c r="V169" s="22" t="s">
        <v>473</v>
      </c>
      <c r="W169" s="22" t="s">
        <v>458</v>
      </c>
      <c r="X169" s="22">
        <v>85</v>
      </c>
      <c r="Y169" s="4">
        <v>250</v>
      </c>
      <c r="Z169" s="26">
        <v>63.4</v>
      </c>
      <c r="AA169" s="24">
        <f>500/Z169</f>
        <v>7.8864353312302837</v>
      </c>
      <c r="AC169" s="22" t="s">
        <v>470</v>
      </c>
      <c r="AD169" s="12" t="s">
        <v>480</v>
      </c>
    </row>
    <row r="170" spans="1:31">
      <c r="A170" s="22">
        <v>85</v>
      </c>
      <c r="B170" s="22"/>
      <c r="C170" s="22"/>
      <c r="D170" s="4" t="s">
        <v>362</v>
      </c>
      <c r="E170" s="4">
        <v>1229</v>
      </c>
      <c r="F170" s="5" t="s">
        <v>283</v>
      </c>
      <c r="J170" s="43"/>
      <c r="K170" s="22"/>
      <c r="L170" s="22"/>
      <c r="M170" s="22"/>
      <c r="N170" s="22"/>
      <c r="R170" s="22"/>
      <c r="S170" s="22"/>
      <c r="T170" s="22">
        <v>3</v>
      </c>
      <c r="U170" s="22" t="s">
        <v>79</v>
      </c>
      <c r="AC170" s="4" t="s">
        <v>491</v>
      </c>
      <c r="AD170" s="4" t="s">
        <v>481</v>
      </c>
    </row>
    <row r="171" spans="1:31">
      <c r="A171" s="4">
        <v>86</v>
      </c>
      <c r="B171" s="4" t="s">
        <v>463</v>
      </c>
      <c r="D171" s="4" t="s">
        <v>10</v>
      </c>
      <c r="E171" s="4">
        <v>4260</v>
      </c>
      <c r="F171" s="5" t="s">
        <v>295</v>
      </c>
      <c r="I171" s="17" t="s">
        <v>295</v>
      </c>
      <c r="J171" s="4" t="s">
        <v>158</v>
      </c>
      <c r="K171" s="6" t="s">
        <v>293</v>
      </c>
      <c r="L171" s="8" t="s">
        <v>294</v>
      </c>
      <c r="M171" s="7">
        <v>22.010472</v>
      </c>
      <c r="N171" s="7">
        <v>-103.818639</v>
      </c>
      <c r="O171" s="4">
        <v>1880</v>
      </c>
      <c r="P171" s="4" t="s">
        <v>13</v>
      </c>
      <c r="Q171" s="4" t="s">
        <v>45</v>
      </c>
      <c r="R171" s="22"/>
      <c r="S171" s="22"/>
      <c r="T171" s="22">
        <v>1</v>
      </c>
      <c r="U171" s="22" t="s">
        <v>386</v>
      </c>
      <c r="V171" s="37" t="s">
        <v>473</v>
      </c>
      <c r="W171" s="37" t="s">
        <v>472</v>
      </c>
      <c r="X171" s="37" t="s">
        <v>495</v>
      </c>
      <c r="Y171" s="37">
        <v>20</v>
      </c>
      <c r="Z171" s="45">
        <v>61.2</v>
      </c>
      <c r="AA171" s="41">
        <f>500/Z171</f>
        <v>8.1699346405228752</v>
      </c>
      <c r="AB171" s="37"/>
      <c r="AC171" s="44" t="s">
        <v>469</v>
      </c>
      <c r="AD171" s="48" t="s">
        <v>480</v>
      </c>
    </row>
    <row r="172" spans="1:31" s="62" customFormat="1">
      <c r="A172" s="4">
        <v>86</v>
      </c>
      <c r="B172" s="4" t="s">
        <v>463</v>
      </c>
      <c r="C172" s="4"/>
      <c r="D172" s="4" t="s">
        <v>362</v>
      </c>
      <c r="E172" s="4">
        <v>1229</v>
      </c>
      <c r="F172" s="5" t="s">
        <v>283</v>
      </c>
      <c r="G172" s="5"/>
      <c r="H172" s="18"/>
      <c r="I172" s="17"/>
      <c r="J172" s="22"/>
      <c r="K172" s="43"/>
      <c r="L172" s="22"/>
      <c r="M172" s="22"/>
      <c r="N172" s="22"/>
      <c r="O172" s="4"/>
      <c r="P172" s="4"/>
      <c r="Q172" s="4"/>
      <c r="R172" s="22" t="s">
        <v>328</v>
      </c>
      <c r="S172" s="22" t="s">
        <v>355</v>
      </c>
      <c r="T172" s="22">
        <v>1</v>
      </c>
      <c r="U172" s="22" t="s">
        <v>310</v>
      </c>
      <c r="V172" s="22" t="s">
        <v>458</v>
      </c>
      <c r="W172" s="22" t="s">
        <v>458</v>
      </c>
      <c r="X172" s="22">
        <v>86</v>
      </c>
      <c r="Y172" s="4">
        <v>250</v>
      </c>
      <c r="Z172" s="26">
        <v>57.8</v>
      </c>
      <c r="AA172" s="24">
        <f>500/Z172</f>
        <v>8.6505190311418687</v>
      </c>
      <c r="AB172" s="4"/>
      <c r="AC172" s="22" t="s">
        <v>470</v>
      </c>
      <c r="AD172" s="12" t="s">
        <v>480</v>
      </c>
      <c r="AE172" s="4"/>
    </row>
    <row r="173" spans="1:31" s="27" customFormat="1">
      <c r="A173" s="27">
        <v>87</v>
      </c>
      <c r="B173" s="27" t="s">
        <v>463</v>
      </c>
      <c r="D173" s="27" t="s">
        <v>10</v>
      </c>
      <c r="E173" s="27">
        <v>4259</v>
      </c>
      <c r="F173" s="87" t="s">
        <v>487</v>
      </c>
      <c r="G173" s="87"/>
      <c r="H173" s="88"/>
      <c r="I173" s="89"/>
      <c r="J173" s="27" t="s">
        <v>158</v>
      </c>
      <c r="K173" s="90" t="s">
        <v>293</v>
      </c>
      <c r="L173" s="91" t="s">
        <v>294</v>
      </c>
      <c r="M173" s="92">
        <v>22.010472</v>
      </c>
      <c r="N173" s="92">
        <v>-103.818639</v>
      </c>
      <c r="O173" s="27">
        <v>1880</v>
      </c>
      <c r="P173" s="27" t="s">
        <v>13</v>
      </c>
      <c r="Q173" s="27" t="s">
        <v>14</v>
      </c>
      <c r="R173" s="27" t="s">
        <v>51</v>
      </c>
      <c r="S173" s="27" t="s">
        <v>296</v>
      </c>
      <c r="T173" s="27">
        <v>2</v>
      </c>
      <c r="U173" s="98" t="s">
        <v>94</v>
      </c>
      <c r="V173" s="27" t="s">
        <v>472</v>
      </c>
      <c r="W173" s="27" t="s">
        <v>0</v>
      </c>
      <c r="X173" s="27">
        <v>87</v>
      </c>
      <c r="Y173" s="27">
        <v>95</v>
      </c>
      <c r="Z173" s="27">
        <v>33.200000000000003</v>
      </c>
      <c r="AA173" s="93">
        <f>500/Z173</f>
        <v>15.060240963855421</v>
      </c>
      <c r="AC173" s="27" t="s">
        <v>469</v>
      </c>
      <c r="AD173" s="94" t="s">
        <v>480</v>
      </c>
    </row>
    <row r="174" spans="1:31">
      <c r="A174" s="4">
        <v>87</v>
      </c>
      <c r="D174" s="4" t="s">
        <v>357</v>
      </c>
      <c r="E174" s="4">
        <v>363</v>
      </c>
      <c r="F174" s="5" t="s">
        <v>44</v>
      </c>
      <c r="J174" s="4" t="s">
        <v>22</v>
      </c>
      <c r="R174" s="22"/>
      <c r="S174" s="22"/>
      <c r="T174" s="22">
        <v>3</v>
      </c>
      <c r="U174" s="22" t="s">
        <v>38</v>
      </c>
      <c r="AC174" s="4" t="s">
        <v>491</v>
      </c>
      <c r="AD174" s="4" t="s">
        <v>481</v>
      </c>
    </row>
    <row r="175" spans="1:31">
      <c r="A175" s="22">
        <v>88</v>
      </c>
      <c r="B175" s="22" t="s">
        <v>463</v>
      </c>
      <c r="C175" s="22"/>
      <c r="D175" s="4" t="s">
        <v>10</v>
      </c>
      <c r="E175" s="4">
        <v>1845</v>
      </c>
      <c r="F175" s="5" t="s">
        <v>300</v>
      </c>
      <c r="G175" s="5" t="s">
        <v>300</v>
      </c>
      <c r="J175" s="4" t="s">
        <v>298</v>
      </c>
      <c r="K175" s="6" t="s">
        <v>302</v>
      </c>
      <c r="L175" s="8" t="s">
        <v>299</v>
      </c>
      <c r="M175" s="7">
        <v>20.138527777777778</v>
      </c>
      <c r="N175" s="7">
        <v>-90.185250000000011</v>
      </c>
      <c r="O175" s="4">
        <v>2</v>
      </c>
      <c r="P175" s="4" t="s">
        <v>25</v>
      </c>
      <c r="R175" s="22" t="s">
        <v>328</v>
      </c>
      <c r="S175" s="22" t="s">
        <v>356</v>
      </c>
      <c r="T175" s="22">
        <v>1</v>
      </c>
      <c r="U175" s="22" t="s">
        <v>26</v>
      </c>
      <c r="V175" s="22" t="s">
        <v>473</v>
      </c>
      <c r="W175" s="22" t="s">
        <v>0</v>
      </c>
      <c r="X175" s="22">
        <v>88</v>
      </c>
      <c r="Y175" s="22" t="s">
        <v>492</v>
      </c>
      <c r="Z175" s="26">
        <v>48.6</v>
      </c>
      <c r="AA175" s="24">
        <f>500/Z175</f>
        <v>10.288065843621398</v>
      </c>
      <c r="AB175" s="22"/>
      <c r="AC175" s="22" t="s">
        <v>469</v>
      </c>
      <c r="AD175" s="12" t="s">
        <v>480</v>
      </c>
    </row>
    <row r="176" spans="1:31">
      <c r="A176" s="28">
        <v>88</v>
      </c>
      <c r="B176" s="28"/>
      <c r="C176" s="28"/>
      <c r="D176" s="28" t="s">
        <v>358</v>
      </c>
      <c r="E176" s="28">
        <v>1</v>
      </c>
      <c r="F176" s="29" t="s">
        <v>233</v>
      </c>
      <c r="G176" s="29" t="s">
        <v>488</v>
      </c>
      <c r="H176" s="30"/>
      <c r="I176" s="31"/>
      <c r="J176" s="28" t="s">
        <v>211</v>
      </c>
      <c r="K176" s="32"/>
      <c r="L176" s="33" t="s">
        <v>359</v>
      </c>
      <c r="M176" s="34"/>
      <c r="N176" s="34"/>
      <c r="O176" s="28"/>
      <c r="P176" s="28"/>
      <c r="Q176" s="28"/>
      <c r="R176" s="28"/>
      <c r="S176" s="28"/>
      <c r="T176" s="28"/>
      <c r="U176" s="28"/>
      <c r="V176" s="28" t="s">
        <v>0</v>
      </c>
      <c r="W176" s="28" t="s">
        <v>473</v>
      </c>
      <c r="X176" s="28" t="s">
        <v>489</v>
      </c>
      <c r="Y176" s="28">
        <v>98</v>
      </c>
      <c r="Z176" s="28"/>
      <c r="AA176" s="35"/>
      <c r="AB176" s="28"/>
      <c r="AC176" s="28" t="s">
        <v>471</v>
      </c>
      <c r="AD176" s="4" t="s">
        <v>480</v>
      </c>
    </row>
    <row r="177" spans="1:31">
      <c r="A177" s="4">
        <v>89</v>
      </c>
      <c r="B177" s="4" t="s">
        <v>463</v>
      </c>
      <c r="D177" s="4" t="s">
        <v>357</v>
      </c>
      <c r="E177" s="4">
        <v>363</v>
      </c>
      <c r="F177" s="5" t="s">
        <v>44</v>
      </c>
      <c r="J177" s="4" t="s">
        <v>22</v>
      </c>
      <c r="K177" s="43"/>
      <c r="L177" s="22"/>
      <c r="M177" s="22"/>
      <c r="N177" s="22"/>
      <c r="R177" s="22" t="s">
        <v>328</v>
      </c>
      <c r="S177" s="22" t="s">
        <v>360</v>
      </c>
      <c r="T177" s="22">
        <v>1</v>
      </c>
      <c r="U177" s="22" t="s">
        <v>115</v>
      </c>
      <c r="V177" s="22" t="s">
        <v>473</v>
      </c>
      <c r="W177" s="22" t="s">
        <v>473</v>
      </c>
      <c r="X177" s="22">
        <v>89</v>
      </c>
      <c r="Y177" s="22">
        <v>40</v>
      </c>
      <c r="Z177" s="26">
        <v>76.400000000000006</v>
      </c>
      <c r="AA177" s="24">
        <f>500/Z177</f>
        <v>6.5445026178010464</v>
      </c>
      <c r="AB177" s="22"/>
      <c r="AC177" s="22" t="s">
        <v>470</v>
      </c>
      <c r="AD177" s="12" t="s">
        <v>480</v>
      </c>
    </row>
    <row r="178" spans="1:31" s="43" customFormat="1" ht="15" customHeight="1">
      <c r="A178" s="43">
        <v>89</v>
      </c>
      <c r="D178" s="43" t="s">
        <v>358</v>
      </c>
      <c r="E178" s="43">
        <v>2</v>
      </c>
      <c r="F178" s="72" t="s">
        <v>233</v>
      </c>
      <c r="G178" s="72" t="s">
        <v>488</v>
      </c>
      <c r="H178" s="73"/>
      <c r="I178" s="74"/>
      <c r="J178" s="43" t="s">
        <v>211</v>
      </c>
      <c r="K178" s="36"/>
      <c r="L178" s="75" t="s">
        <v>359</v>
      </c>
      <c r="M178" s="76"/>
      <c r="N178" s="76"/>
      <c r="T178" s="43">
        <v>3</v>
      </c>
      <c r="U178" s="43" t="s">
        <v>243</v>
      </c>
      <c r="AA178" s="77"/>
      <c r="AD178" s="43" t="s">
        <v>481</v>
      </c>
    </row>
    <row r="179" spans="1:31" s="79" customFormat="1">
      <c r="A179" s="79">
        <v>90</v>
      </c>
      <c r="D179" s="79" t="s">
        <v>358</v>
      </c>
      <c r="E179" s="79">
        <v>1</v>
      </c>
      <c r="F179" s="80" t="s">
        <v>233</v>
      </c>
      <c r="G179" s="80" t="s">
        <v>488</v>
      </c>
      <c r="H179" s="81"/>
      <c r="I179" s="82"/>
      <c r="J179" s="79" t="s">
        <v>211</v>
      </c>
      <c r="K179" s="83"/>
      <c r="L179" s="84" t="s">
        <v>359</v>
      </c>
      <c r="M179" s="85"/>
      <c r="N179" s="85"/>
      <c r="R179" s="79" t="s">
        <v>328</v>
      </c>
      <c r="S179" s="79" t="s">
        <v>361</v>
      </c>
      <c r="V179" s="79" t="s">
        <v>0</v>
      </c>
      <c r="W179" s="79" t="s">
        <v>458</v>
      </c>
      <c r="X179" s="79">
        <v>90</v>
      </c>
      <c r="Y179" s="79">
        <v>250</v>
      </c>
      <c r="Z179" s="79">
        <v>17</v>
      </c>
      <c r="AA179" s="86">
        <f>500/Z179</f>
        <v>29.411764705882351</v>
      </c>
      <c r="AC179" s="79" t="s">
        <v>471</v>
      </c>
      <c r="AD179" s="83" t="s">
        <v>480</v>
      </c>
    </row>
    <row r="180" spans="1:31" ht="15" customHeight="1">
      <c r="A180" s="4">
        <v>90</v>
      </c>
      <c r="D180" s="4" t="s">
        <v>10</v>
      </c>
      <c r="E180" s="4">
        <v>2609</v>
      </c>
      <c r="F180" s="5" t="s">
        <v>399</v>
      </c>
      <c r="G180" s="5" t="s">
        <v>391</v>
      </c>
      <c r="J180" s="4" t="s">
        <v>396</v>
      </c>
      <c r="K180" s="6" t="s">
        <v>409</v>
      </c>
      <c r="L180" s="8" t="s">
        <v>410</v>
      </c>
      <c r="M180" s="7">
        <v>19.960238888888888</v>
      </c>
      <c r="N180" s="7">
        <v>-100.92979722222222</v>
      </c>
      <c r="O180" s="4">
        <v>1884</v>
      </c>
      <c r="P180" s="4" t="s">
        <v>13</v>
      </c>
      <c r="Q180" s="4" t="s">
        <v>14</v>
      </c>
      <c r="R180" s="22"/>
      <c r="S180" s="22"/>
      <c r="T180" s="22">
        <v>3</v>
      </c>
      <c r="U180" s="22" t="s">
        <v>371</v>
      </c>
      <c r="Z180" s="4"/>
      <c r="AA180" s="4"/>
      <c r="AC180" s="22"/>
      <c r="AD180" s="4" t="s">
        <v>481</v>
      </c>
    </row>
    <row r="181" spans="1:31" s="27" customFormat="1">
      <c r="A181" s="27">
        <v>91</v>
      </c>
      <c r="B181" s="27" t="s">
        <v>463</v>
      </c>
      <c r="D181" s="27" t="s">
        <v>54</v>
      </c>
      <c r="E181" s="27">
        <v>574</v>
      </c>
      <c r="F181" s="87" t="s">
        <v>399</v>
      </c>
      <c r="G181" s="87" t="s">
        <v>391</v>
      </c>
      <c r="H181" s="88"/>
      <c r="I181" s="89"/>
      <c r="J181" s="27" t="s">
        <v>158</v>
      </c>
      <c r="K181" s="90" t="s">
        <v>388</v>
      </c>
      <c r="L181" s="91" t="s">
        <v>389</v>
      </c>
      <c r="M181" s="92">
        <v>20.416833333333333</v>
      </c>
      <c r="N181" s="92">
        <v>-102.61924999999999</v>
      </c>
      <c r="O181" s="27">
        <v>1759</v>
      </c>
      <c r="P181" s="27" t="s">
        <v>13</v>
      </c>
      <c r="Q181" s="27" t="s">
        <v>14</v>
      </c>
      <c r="R181" s="27" t="s">
        <v>390</v>
      </c>
      <c r="T181" s="27">
        <v>1</v>
      </c>
      <c r="U181" s="27" t="s">
        <v>153</v>
      </c>
      <c r="V181" s="27" t="s">
        <v>473</v>
      </c>
      <c r="W181" s="27" t="s">
        <v>472</v>
      </c>
      <c r="X181" s="27">
        <v>91</v>
      </c>
      <c r="Z181" s="27">
        <v>102</v>
      </c>
      <c r="AA181" s="93">
        <f t="shared" ref="AA181:AA189" si="2">500/Z181</f>
        <v>4.9019607843137258</v>
      </c>
      <c r="AC181" s="27" t="s">
        <v>469</v>
      </c>
      <c r="AD181" s="94" t="s">
        <v>480</v>
      </c>
    </row>
    <row r="182" spans="1:31">
      <c r="A182" s="4">
        <v>92</v>
      </c>
      <c r="B182" s="4" t="s">
        <v>463</v>
      </c>
      <c r="D182" s="4" t="s">
        <v>10</v>
      </c>
      <c r="E182" s="4">
        <v>1630</v>
      </c>
      <c r="F182" s="5" t="s">
        <v>399</v>
      </c>
      <c r="G182" s="5" t="s">
        <v>391</v>
      </c>
      <c r="J182" s="4" t="s">
        <v>392</v>
      </c>
      <c r="L182" s="8" t="s">
        <v>393</v>
      </c>
      <c r="M182" s="7">
        <v>21.69863888888889</v>
      </c>
      <c r="N182" s="7">
        <v>-102.26347222222222</v>
      </c>
      <c r="O182" s="4">
        <v>1908</v>
      </c>
      <c r="P182" s="4" t="s">
        <v>15</v>
      </c>
      <c r="Q182" s="4" t="s">
        <v>14</v>
      </c>
      <c r="R182" s="22" t="s">
        <v>390</v>
      </c>
      <c r="S182" s="22"/>
      <c r="T182" s="22">
        <v>2</v>
      </c>
      <c r="U182" s="22" t="s">
        <v>379</v>
      </c>
      <c r="V182" s="22" t="s">
        <v>458</v>
      </c>
      <c r="W182" s="22" t="s">
        <v>0</v>
      </c>
      <c r="X182" s="22">
        <v>92</v>
      </c>
      <c r="Z182" s="26">
        <v>23.4</v>
      </c>
      <c r="AA182" s="24">
        <f t="shared" si="2"/>
        <v>21.36752136752137</v>
      </c>
      <c r="AC182" s="22" t="s">
        <v>469</v>
      </c>
      <c r="AD182" s="12" t="s">
        <v>480</v>
      </c>
    </row>
    <row r="183" spans="1:31" s="27" customFormat="1">
      <c r="A183" s="27">
        <v>93</v>
      </c>
      <c r="B183" s="27" t="s">
        <v>463</v>
      </c>
      <c r="D183" s="27" t="s">
        <v>10</v>
      </c>
      <c r="E183" s="27">
        <v>1325</v>
      </c>
      <c r="F183" s="87" t="s">
        <v>399</v>
      </c>
      <c r="G183" s="87" t="s">
        <v>391</v>
      </c>
      <c r="H183" s="88"/>
      <c r="I183" s="89"/>
      <c r="J183" s="27" t="s">
        <v>396</v>
      </c>
      <c r="K183" s="90" t="s">
        <v>395</v>
      </c>
      <c r="L183" s="91" t="s">
        <v>394</v>
      </c>
      <c r="M183" s="92">
        <v>21.073777777777778</v>
      </c>
      <c r="N183" s="92">
        <v>-100.79869444444444</v>
      </c>
      <c r="O183" s="27">
        <v>1925</v>
      </c>
      <c r="R183" s="27" t="s">
        <v>390</v>
      </c>
      <c r="T183" s="27">
        <v>1</v>
      </c>
      <c r="U183" s="27" t="s">
        <v>186</v>
      </c>
      <c r="V183" s="27" t="s">
        <v>458</v>
      </c>
      <c r="W183" s="27" t="s">
        <v>472</v>
      </c>
      <c r="X183" s="27">
        <v>93</v>
      </c>
      <c r="Z183" s="27">
        <v>51.2</v>
      </c>
      <c r="AA183" s="93">
        <f t="shared" si="2"/>
        <v>9.765625</v>
      </c>
      <c r="AC183" s="27" t="s">
        <v>469</v>
      </c>
      <c r="AD183" s="94" t="s">
        <v>480</v>
      </c>
    </row>
    <row r="184" spans="1:31">
      <c r="A184" s="4">
        <v>94</v>
      </c>
      <c r="B184" s="4" t="s">
        <v>463</v>
      </c>
      <c r="D184" s="4" t="s">
        <v>20</v>
      </c>
      <c r="E184" s="4">
        <v>2140</v>
      </c>
      <c r="F184" s="5" t="s">
        <v>399</v>
      </c>
      <c r="G184" s="5" t="s">
        <v>391</v>
      </c>
      <c r="J184" s="4" t="s">
        <v>158</v>
      </c>
      <c r="K184" s="6" t="s">
        <v>165</v>
      </c>
      <c r="L184" s="8" t="s">
        <v>165</v>
      </c>
      <c r="M184" s="7">
        <v>20.943472222222223</v>
      </c>
      <c r="N184" s="7">
        <v>-103.46644444444445</v>
      </c>
      <c r="O184" s="4">
        <v>1643</v>
      </c>
      <c r="Q184" s="4" t="s">
        <v>16</v>
      </c>
      <c r="R184" s="22"/>
      <c r="S184" s="22"/>
      <c r="T184" s="22">
        <v>1</v>
      </c>
      <c r="U184" s="22" t="s">
        <v>382</v>
      </c>
      <c r="V184" s="4" t="s">
        <v>473</v>
      </c>
      <c r="W184" s="4" t="s">
        <v>458</v>
      </c>
      <c r="X184" s="4" t="s">
        <v>489</v>
      </c>
      <c r="Y184" s="4">
        <v>98</v>
      </c>
      <c r="Z184" s="26">
        <v>64.2</v>
      </c>
      <c r="AA184" s="25">
        <f t="shared" si="2"/>
        <v>7.7881619937694699</v>
      </c>
      <c r="AC184" s="22" t="s">
        <v>470</v>
      </c>
      <c r="AD184" s="47" t="s">
        <v>480</v>
      </c>
    </row>
    <row r="185" spans="1:31">
      <c r="A185" s="4">
        <v>95</v>
      </c>
      <c r="B185" s="4" t="s">
        <v>463</v>
      </c>
      <c r="D185" s="4" t="s">
        <v>10</v>
      </c>
      <c r="E185" s="4">
        <v>2609</v>
      </c>
      <c r="F185" s="5" t="s">
        <v>399</v>
      </c>
      <c r="G185" s="5" t="s">
        <v>391</v>
      </c>
      <c r="J185" s="4" t="s">
        <v>396</v>
      </c>
      <c r="K185" s="6" t="s">
        <v>409</v>
      </c>
      <c r="L185" s="8" t="s">
        <v>410</v>
      </c>
      <c r="M185" s="7">
        <v>19.960238888888888</v>
      </c>
      <c r="N185" s="7">
        <v>-100.92979722222222</v>
      </c>
      <c r="O185" s="4">
        <v>1884</v>
      </c>
      <c r="P185" s="4" t="s">
        <v>13</v>
      </c>
      <c r="Q185" s="4" t="s">
        <v>14</v>
      </c>
      <c r="R185" s="22" t="s">
        <v>454</v>
      </c>
      <c r="S185" s="22"/>
      <c r="T185" s="22">
        <v>2</v>
      </c>
      <c r="U185" s="22" t="s">
        <v>314</v>
      </c>
      <c r="V185" s="4" t="s">
        <v>473</v>
      </c>
      <c r="W185" s="4" t="s">
        <v>472</v>
      </c>
      <c r="X185" s="22" t="s">
        <v>495</v>
      </c>
      <c r="Y185" s="4">
        <v>99</v>
      </c>
      <c r="Z185" s="26">
        <v>42.4</v>
      </c>
      <c r="AA185" s="24">
        <f t="shared" si="2"/>
        <v>11.79245283018868</v>
      </c>
      <c r="AB185" s="22"/>
      <c r="AC185" s="22" t="s">
        <v>470</v>
      </c>
      <c r="AD185" s="12" t="s">
        <v>480</v>
      </c>
      <c r="AE185" s="22"/>
    </row>
    <row r="186" spans="1:31" s="22" customFormat="1">
      <c r="A186" s="22">
        <v>96</v>
      </c>
      <c r="B186" s="22" t="s">
        <v>463</v>
      </c>
      <c r="D186" s="4" t="s">
        <v>10</v>
      </c>
      <c r="E186" s="4">
        <v>1498</v>
      </c>
      <c r="F186" s="5" t="s">
        <v>399</v>
      </c>
      <c r="G186" s="5" t="s">
        <v>399</v>
      </c>
      <c r="H186" s="18"/>
      <c r="I186" s="17"/>
      <c r="J186" s="4" t="s">
        <v>241</v>
      </c>
      <c r="K186" s="6"/>
      <c r="L186" s="8" t="s">
        <v>420</v>
      </c>
      <c r="M186" s="7">
        <v>27.89</v>
      </c>
      <c r="N186" s="7">
        <v>-101.38927777777778</v>
      </c>
      <c r="O186" s="4">
        <v>415</v>
      </c>
      <c r="P186" s="4"/>
      <c r="Q186" s="4"/>
      <c r="R186" s="22" t="s">
        <v>390</v>
      </c>
      <c r="T186" s="22">
        <v>1</v>
      </c>
      <c r="U186" s="22" t="s">
        <v>314</v>
      </c>
      <c r="V186" s="4" t="s">
        <v>473</v>
      </c>
      <c r="W186" s="4" t="s">
        <v>472</v>
      </c>
      <c r="X186" s="4">
        <v>96</v>
      </c>
      <c r="Y186" s="4"/>
      <c r="Z186" s="26">
        <v>118</v>
      </c>
      <c r="AA186" s="24">
        <f t="shared" si="2"/>
        <v>4.2372881355932206</v>
      </c>
      <c r="AB186" s="4"/>
      <c r="AC186" s="22" t="s">
        <v>469</v>
      </c>
      <c r="AD186" s="12" t="s">
        <v>480</v>
      </c>
      <c r="AE186" s="4"/>
    </row>
    <row r="187" spans="1:31" s="27" customFormat="1">
      <c r="A187" s="27">
        <v>97</v>
      </c>
      <c r="B187" s="27" t="s">
        <v>463</v>
      </c>
      <c r="D187" s="27" t="s">
        <v>10</v>
      </c>
      <c r="E187" s="27">
        <v>1512</v>
      </c>
      <c r="F187" s="87" t="s">
        <v>399</v>
      </c>
      <c r="G187" s="87" t="s">
        <v>399</v>
      </c>
      <c r="H187" s="88"/>
      <c r="I187" s="89"/>
      <c r="J187" s="27" t="s">
        <v>241</v>
      </c>
      <c r="K187" s="90"/>
      <c r="L187" s="91" t="s">
        <v>242</v>
      </c>
      <c r="M187" s="92">
        <v>26.371444444444446</v>
      </c>
      <c r="N187" s="92">
        <v>-101.44194444444445</v>
      </c>
      <c r="O187" s="27">
        <v>1137</v>
      </c>
      <c r="R187" s="27" t="s">
        <v>390</v>
      </c>
      <c r="T187" s="27">
        <v>2</v>
      </c>
      <c r="U187" s="27" t="s">
        <v>263</v>
      </c>
      <c r="V187" s="27" t="s">
        <v>472</v>
      </c>
      <c r="W187" s="27" t="s">
        <v>472</v>
      </c>
      <c r="X187" s="27">
        <v>97</v>
      </c>
      <c r="Y187" s="27">
        <v>30</v>
      </c>
      <c r="Z187" s="27">
        <v>30.2</v>
      </c>
      <c r="AA187" s="93">
        <f t="shared" si="2"/>
        <v>16.556291390728479</v>
      </c>
      <c r="AC187" s="27" t="s">
        <v>469</v>
      </c>
      <c r="AD187" s="94" t="s">
        <v>480</v>
      </c>
    </row>
    <row r="188" spans="1:31">
      <c r="A188" s="4">
        <v>98</v>
      </c>
      <c r="B188" s="4" t="s">
        <v>463</v>
      </c>
      <c r="D188" s="4" t="s">
        <v>20</v>
      </c>
      <c r="E188" s="4">
        <v>2030</v>
      </c>
      <c r="F188" s="5" t="s">
        <v>399</v>
      </c>
      <c r="G188" s="1" t="s">
        <v>455</v>
      </c>
      <c r="H188" s="19"/>
      <c r="J188" s="4" t="s">
        <v>241</v>
      </c>
      <c r="K188" s="6" t="s">
        <v>413</v>
      </c>
      <c r="L188" s="8" t="s">
        <v>414</v>
      </c>
      <c r="M188" s="7">
        <v>27.112611111111111</v>
      </c>
      <c r="N188" s="7">
        <v>-102.39436111111112</v>
      </c>
      <c r="O188" s="4">
        <v>1291</v>
      </c>
      <c r="R188" s="22" t="s">
        <v>390</v>
      </c>
      <c r="S188" s="22"/>
      <c r="T188" s="22">
        <v>2</v>
      </c>
      <c r="U188" s="22" t="s">
        <v>328</v>
      </c>
      <c r="V188" s="4" t="s">
        <v>473</v>
      </c>
      <c r="W188" s="39" t="s">
        <v>472</v>
      </c>
      <c r="X188" s="39">
        <v>98</v>
      </c>
      <c r="Y188" s="39">
        <v>100</v>
      </c>
      <c r="Z188" s="40">
        <v>41.2</v>
      </c>
      <c r="AA188" s="66">
        <f t="shared" si="2"/>
        <v>12.135922330097086</v>
      </c>
      <c r="AB188" s="38"/>
      <c r="AC188" s="39" t="s">
        <v>469</v>
      </c>
      <c r="AD188" s="49" t="s">
        <v>480</v>
      </c>
    </row>
    <row r="189" spans="1:31">
      <c r="A189" s="22">
        <v>99</v>
      </c>
      <c r="B189" s="22" t="s">
        <v>463</v>
      </c>
      <c r="C189" s="22"/>
      <c r="D189" s="4" t="s">
        <v>248</v>
      </c>
      <c r="E189" s="4">
        <v>23305</v>
      </c>
      <c r="F189" s="5" t="s">
        <v>401</v>
      </c>
      <c r="H189" s="19"/>
      <c r="J189" s="4" t="s">
        <v>158</v>
      </c>
      <c r="K189" s="6" t="s">
        <v>402</v>
      </c>
      <c r="L189" s="8" t="s">
        <v>403</v>
      </c>
      <c r="M189" s="7">
        <v>22.34254</v>
      </c>
      <c r="N189" s="7">
        <v>-103.21044000000001</v>
      </c>
      <c r="O189" s="4">
        <v>1859</v>
      </c>
      <c r="P189" s="4" t="s">
        <v>13</v>
      </c>
      <c r="Q189" s="4" t="s">
        <v>14</v>
      </c>
      <c r="R189" s="22"/>
      <c r="S189" s="22"/>
      <c r="T189" s="22">
        <v>1</v>
      </c>
      <c r="U189" s="22" t="s">
        <v>103</v>
      </c>
      <c r="V189" s="4" t="s">
        <v>473</v>
      </c>
      <c r="W189" s="4" t="s">
        <v>472</v>
      </c>
      <c r="X189" s="4" t="s">
        <v>489</v>
      </c>
      <c r="Y189" s="4">
        <v>160</v>
      </c>
      <c r="Z189" s="26">
        <v>43.4</v>
      </c>
      <c r="AA189" s="25">
        <f t="shared" si="2"/>
        <v>11.520737327188941</v>
      </c>
      <c r="AC189" s="22" t="s">
        <v>470</v>
      </c>
      <c r="AD189" s="47" t="s">
        <v>480</v>
      </c>
    </row>
    <row r="190" spans="1:31" s="43" customFormat="1">
      <c r="A190" s="43">
        <v>100</v>
      </c>
      <c r="D190" s="43" t="s">
        <v>10</v>
      </c>
      <c r="E190" s="43">
        <v>4263</v>
      </c>
      <c r="F190" s="72" t="s">
        <v>401</v>
      </c>
      <c r="G190" s="72"/>
      <c r="H190" s="73"/>
      <c r="I190" s="74"/>
      <c r="J190" s="43" t="s">
        <v>158</v>
      </c>
      <c r="K190" s="36" t="s">
        <v>404</v>
      </c>
      <c r="L190" s="75" t="s">
        <v>405</v>
      </c>
      <c r="M190" s="76">
        <v>22.609698000000002</v>
      </c>
      <c r="N190" s="76">
        <v>-103.954398</v>
      </c>
      <c r="O190" s="43">
        <v>1700</v>
      </c>
      <c r="P190" s="43" t="s">
        <v>13</v>
      </c>
      <c r="Q190" s="43" t="s">
        <v>45</v>
      </c>
      <c r="T190" s="43">
        <v>3</v>
      </c>
      <c r="U190" s="43" t="s">
        <v>365</v>
      </c>
      <c r="AA190" s="77"/>
      <c r="AD190" s="43" t="s">
        <v>481</v>
      </c>
    </row>
    <row r="191" spans="1:31">
      <c r="A191" s="4">
        <v>101</v>
      </c>
      <c r="B191" s="4" t="s">
        <v>463</v>
      </c>
      <c r="D191" s="4" t="s">
        <v>10</v>
      </c>
      <c r="E191" s="4">
        <v>1358</v>
      </c>
      <c r="F191" s="5" t="s">
        <v>399</v>
      </c>
      <c r="G191" s="5" t="s">
        <v>400</v>
      </c>
      <c r="H191" s="19"/>
      <c r="J191" s="4" t="s">
        <v>396</v>
      </c>
      <c r="K191" s="6" t="s">
        <v>412</v>
      </c>
      <c r="L191" s="8" t="s">
        <v>411</v>
      </c>
      <c r="M191" s="7">
        <v>21.163388888888889</v>
      </c>
      <c r="N191" s="7">
        <v>-100.49716666666667</v>
      </c>
      <c r="O191" s="4">
        <v>2141</v>
      </c>
      <c r="P191" s="4" t="s">
        <v>25</v>
      </c>
      <c r="Q191" s="4" t="s">
        <v>25</v>
      </c>
      <c r="R191" s="22" t="s">
        <v>390</v>
      </c>
      <c r="S191" s="22"/>
      <c r="T191" s="22">
        <v>1</v>
      </c>
      <c r="U191" s="22" t="s">
        <v>110</v>
      </c>
      <c r="V191" s="4" t="s">
        <v>473</v>
      </c>
      <c r="W191" s="4" t="s">
        <v>472</v>
      </c>
      <c r="X191" s="4">
        <v>101</v>
      </c>
      <c r="Z191" s="26">
        <v>116</v>
      </c>
      <c r="AA191" s="24">
        <f>500/Z191</f>
        <v>4.3103448275862073</v>
      </c>
      <c r="AC191" s="4" t="s">
        <v>469</v>
      </c>
      <c r="AD191" s="12" t="s">
        <v>480</v>
      </c>
      <c r="AE191" s="22"/>
    </row>
    <row r="192" spans="1:31">
      <c r="A192" s="22">
        <v>102</v>
      </c>
      <c r="B192" s="22" t="s">
        <v>463</v>
      </c>
      <c r="C192" s="22"/>
      <c r="D192" s="4" t="s">
        <v>10</v>
      </c>
      <c r="E192" s="4">
        <v>1417</v>
      </c>
      <c r="F192" s="5" t="s">
        <v>399</v>
      </c>
      <c r="G192" s="5" t="s">
        <v>400</v>
      </c>
      <c r="H192" s="19"/>
      <c r="J192" s="4" t="s">
        <v>194</v>
      </c>
      <c r="L192" s="8" t="s">
        <v>240</v>
      </c>
      <c r="M192" s="7">
        <v>25.066055555555558</v>
      </c>
      <c r="N192" s="7">
        <v>-103.7756111111111</v>
      </c>
      <c r="O192" s="4">
        <v>1389</v>
      </c>
      <c r="P192" s="4" t="s">
        <v>25</v>
      </c>
      <c r="Q192" s="4" t="s">
        <v>25</v>
      </c>
      <c r="R192" s="22" t="s">
        <v>390</v>
      </c>
      <c r="S192" s="22"/>
      <c r="T192" s="22">
        <v>1</v>
      </c>
      <c r="U192" s="22" t="s">
        <v>38</v>
      </c>
      <c r="V192" s="4" t="s">
        <v>473</v>
      </c>
      <c r="W192" s="4" t="s">
        <v>458</v>
      </c>
      <c r="X192" s="4">
        <v>102</v>
      </c>
      <c r="Z192" s="26">
        <v>104</v>
      </c>
      <c r="AA192" s="24">
        <f>500/Z192</f>
        <v>4.8076923076923075</v>
      </c>
      <c r="AC192" s="4" t="s">
        <v>470</v>
      </c>
      <c r="AD192" s="12" t="s">
        <v>480</v>
      </c>
    </row>
    <row r="193" spans="1:31" ht="15" customHeight="1">
      <c r="A193" s="4">
        <v>103</v>
      </c>
      <c r="B193" s="4" t="s">
        <v>463</v>
      </c>
      <c r="D193" s="4" t="s">
        <v>416</v>
      </c>
      <c r="E193" s="4">
        <v>5</v>
      </c>
      <c r="F193" s="5" t="s">
        <v>399</v>
      </c>
      <c r="G193" s="5" t="s">
        <v>417</v>
      </c>
      <c r="H193" s="19"/>
      <c r="J193" s="4" t="s">
        <v>241</v>
      </c>
      <c r="K193" s="6" t="s">
        <v>418</v>
      </c>
      <c r="L193" s="8" t="s">
        <v>419</v>
      </c>
      <c r="M193" s="7">
        <v>25.79701</v>
      </c>
      <c r="N193" s="7">
        <v>-102.98189000000001</v>
      </c>
      <c r="O193" s="4">
        <v>1101</v>
      </c>
      <c r="P193" s="4" t="s">
        <v>25</v>
      </c>
      <c r="Q193" s="4" t="s">
        <v>25</v>
      </c>
      <c r="R193" s="22" t="s">
        <v>390</v>
      </c>
      <c r="S193" s="22"/>
      <c r="T193" s="22">
        <v>1</v>
      </c>
      <c r="U193" s="22" t="s">
        <v>19</v>
      </c>
      <c r="V193" s="4" t="s">
        <v>472</v>
      </c>
      <c r="W193" s="4" t="s">
        <v>473</v>
      </c>
      <c r="X193" s="4">
        <v>103</v>
      </c>
      <c r="Z193" s="26">
        <v>116</v>
      </c>
      <c r="AA193" s="24">
        <f>500/Z193</f>
        <v>4.3103448275862073</v>
      </c>
      <c r="AC193" s="22" t="s">
        <v>470</v>
      </c>
      <c r="AD193" s="12" t="s">
        <v>480</v>
      </c>
    </row>
    <row r="194" spans="1:31" s="43" customFormat="1">
      <c r="A194" s="43">
        <v>104</v>
      </c>
      <c r="D194" s="43" t="s">
        <v>10</v>
      </c>
      <c r="E194" s="43">
        <v>1898</v>
      </c>
      <c r="F194" s="72" t="s">
        <v>486</v>
      </c>
      <c r="G194" s="72"/>
      <c r="H194" s="73"/>
      <c r="I194" s="74"/>
      <c r="J194" s="43" t="s">
        <v>406</v>
      </c>
      <c r="K194" s="75" t="s">
        <v>407</v>
      </c>
      <c r="L194" s="75" t="s">
        <v>408</v>
      </c>
      <c r="M194" s="76" t="s">
        <v>25</v>
      </c>
      <c r="N194" s="76" t="s">
        <v>25</v>
      </c>
      <c r="O194" s="43" t="s">
        <v>25</v>
      </c>
      <c r="P194" s="43" t="s">
        <v>25</v>
      </c>
      <c r="Q194" s="43" t="s">
        <v>25</v>
      </c>
      <c r="T194" s="43">
        <v>3</v>
      </c>
      <c r="U194" s="43" t="s">
        <v>219</v>
      </c>
      <c r="AA194" s="77"/>
      <c r="AD194" s="43" t="s">
        <v>481</v>
      </c>
    </row>
    <row r="195" spans="1:31">
      <c r="A195" s="22">
        <v>105</v>
      </c>
      <c r="B195" s="22" t="s">
        <v>463</v>
      </c>
      <c r="C195" s="22"/>
      <c r="D195" s="4" t="s">
        <v>10</v>
      </c>
      <c r="E195" s="4">
        <v>1897</v>
      </c>
      <c r="F195" s="1" t="s">
        <v>485</v>
      </c>
      <c r="H195" s="19"/>
      <c r="J195" s="4" t="s">
        <v>406</v>
      </c>
      <c r="K195" s="8" t="s">
        <v>407</v>
      </c>
      <c r="L195" s="8" t="s">
        <v>408</v>
      </c>
      <c r="M195" s="7" t="s">
        <v>25</v>
      </c>
      <c r="N195" s="7" t="s">
        <v>25</v>
      </c>
      <c r="O195" s="4" t="s">
        <v>25</v>
      </c>
      <c r="P195" s="4" t="s">
        <v>25</v>
      </c>
      <c r="Q195" s="4" t="s">
        <v>25</v>
      </c>
      <c r="R195" s="22"/>
      <c r="S195" s="22"/>
      <c r="T195" s="22">
        <v>1</v>
      </c>
      <c r="U195" s="22" t="s">
        <v>384</v>
      </c>
      <c r="V195" s="4" t="s">
        <v>473</v>
      </c>
      <c r="W195" s="4" t="s">
        <v>458</v>
      </c>
      <c r="X195" s="4" t="s">
        <v>489</v>
      </c>
      <c r="Y195" s="4">
        <v>125</v>
      </c>
      <c r="Z195" s="26">
        <v>62</v>
      </c>
      <c r="AA195" s="25">
        <f t="shared" ref="AA195:AA213" si="3">500/Z195</f>
        <v>8.064516129032258</v>
      </c>
      <c r="AC195" s="22" t="s">
        <v>470</v>
      </c>
      <c r="AD195" s="47" t="s">
        <v>480</v>
      </c>
    </row>
    <row r="196" spans="1:31" ht="15" customHeight="1">
      <c r="A196" s="4">
        <v>106</v>
      </c>
      <c r="B196" s="4" t="s">
        <v>463</v>
      </c>
      <c r="D196" s="4" t="s">
        <v>20</v>
      </c>
      <c r="E196" s="4">
        <v>2032</v>
      </c>
      <c r="F196" s="5" t="s">
        <v>399</v>
      </c>
      <c r="G196" s="1" t="s">
        <v>455</v>
      </c>
      <c r="H196" s="19"/>
      <c r="J196" s="4" t="s">
        <v>241</v>
      </c>
      <c r="K196" s="6" t="s">
        <v>397</v>
      </c>
      <c r="L196" s="8" t="s">
        <v>415</v>
      </c>
      <c r="M196" s="7">
        <v>26.782694444444445</v>
      </c>
      <c r="N196" s="7">
        <v>-102.00561111111111</v>
      </c>
      <c r="O196" s="4">
        <v>725</v>
      </c>
      <c r="P196" s="4" t="s">
        <v>25</v>
      </c>
      <c r="Q196" s="4" t="s">
        <v>25</v>
      </c>
      <c r="R196" s="22" t="s">
        <v>390</v>
      </c>
      <c r="S196" s="22"/>
      <c r="T196" s="22">
        <v>1</v>
      </c>
      <c r="U196" s="22" t="s">
        <v>50</v>
      </c>
      <c r="V196" s="4" t="s">
        <v>473</v>
      </c>
      <c r="W196" s="39" t="s">
        <v>473</v>
      </c>
      <c r="X196" s="39">
        <v>106</v>
      </c>
      <c r="Y196" s="39"/>
      <c r="Z196" s="40">
        <v>98.6</v>
      </c>
      <c r="AA196" s="66">
        <f t="shared" si="3"/>
        <v>5.0709939148073024</v>
      </c>
      <c r="AB196" s="39"/>
      <c r="AC196" s="39" t="s">
        <v>470</v>
      </c>
      <c r="AD196" s="49" t="s">
        <v>480</v>
      </c>
    </row>
    <row r="197" spans="1:31">
      <c r="A197" s="4">
        <v>107</v>
      </c>
      <c r="B197" s="4" t="s">
        <v>463</v>
      </c>
      <c r="D197" s="4" t="s">
        <v>10</v>
      </c>
      <c r="E197" s="4">
        <v>1454</v>
      </c>
      <c r="F197" s="5" t="s">
        <v>399</v>
      </c>
      <c r="G197" s="2" t="s">
        <v>464</v>
      </c>
      <c r="J197" s="4" t="s">
        <v>241</v>
      </c>
      <c r="K197" s="6" t="s">
        <v>397</v>
      </c>
      <c r="L197" s="8" t="s">
        <v>398</v>
      </c>
      <c r="M197" s="7">
        <v>26.872666666666667</v>
      </c>
      <c r="N197" s="7">
        <v>-102.13636111111111</v>
      </c>
      <c r="O197" s="4">
        <v>765</v>
      </c>
      <c r="P197" s="4" t="s">
        <v>25</v>
      </c>
      <c r="Q197" s="4" t="s">
        <v>25</v>
      </c>
      <c r="R197" s="22" t="s">
        <v>390</v>
      </c>
      <c r="S197" s="22"/>
      <c r="T197" s="22">
        <v>1</v>
      </c>
      <c r="U197" s="22" t="s">
        <v>275</v>
      </c>
      <c r="V197" s="4" t="s">
        <v>473</v>
      </c>
      <c r="W197" s="4" t="s">
        <v>472</v>
      </c>
      <c r="X197" s="4">
        <v>107</v>
      </c>
      <c r="Z197" s="26">
        <v>100</v>
      </c>
      <c r="AA197" s="24">
        <f t="shared" si="3"/>
        <v>5</v>
      </c>
      <c r="AC197" s="4" t="s">
        <v>470</v>
      </c>
      <c r="AD197" s="12" t="s">
        <v>480</v>
      </c>
    </row>
    <row r="198" spans="1:31">
      <c r="A198" s="4">
        <v>108</v>
      </c>
      <c r="B198" s="4" t="s">
        <v>463</v>
      </c>
      <c r="D198" s="4" t="s">
        <v>161</v>
      </c>
      <c r="E198" s="4">
        <v>252</v>
      </c>
      <c r="F198" s="5" t="s">
        <v>399</v>
      </c>
      <c r="J198" s="22"/>
      <c r="K198" s="43"/>
      <c r="L198" s="22"/>
      <c r="M198" s="22"/>
      <c r="N198" s="22"/>
      <c r="O198" s="4" t="s">
        <v>25</v>
      </c>
      <c r="P198" s="4" t="s">
        <v>25</v>
      </c>
      <c r="Q198" s="4" t="s">
        <v>25</v>
      </c>
      <c r="R198" s="22" t="s">
        <v>390</v>
      </c>
      <c r="S198" s="22"/>
      <c r="T198" s="22">
        <v>2</v>
      </c>
      <c r="U198" s="22" t="s">
        <v>50</v>
      </c>
      <c r="V198" s="4" t="s">
        <v>458</v>
      </c>
      <c r="W198" s="4" t="s">
        <v>472</v>
      </c>
      <c r="X198" s="4">
        <v>108</v>
      </c>
      <c r="Z198" s="26">
        <v>34.6</v>
      </c>
      <c r="AA198" s="24">
        <f t="shared" si="3"/>
        <v>14.450867052023121</v>
      </c>
      <c r="AC198" s="4" t="s">
        <v>469</v>
      </c>
      <c r="AD198" s="12" t="s">
        <v>480</v>
      </c>
    </row>
    <row r="199" spans="1:31" ht="15" customHeight="1">
      <c r="A199" s="4">
        <v>109</v>
      </c>
      <c r="B199" s="4" t="s">
        <v>463</v>
      </c>
      <c r="D199" s="4" t="s">
        <v>421</v>
      </c>
      <c r="E199" s="4">
        <v>36</v>
      </c>
      <c r="F199" s="5" t="s">
        <v>399</v>
      </c>
      <c r="J199" s="4" t="s">
        <v>423</v>
      </c>
      <c r="K199" s="2"/>
      <c r="L199" s="3" t="s">
        <v>422</v>
      </c>
      <c r="M199" s="9" t="s">
        <v>25</v>
      </c>
      <c r="N199" s="9" t="s">
        <v>25</v>
      </c>
      <c r="O199" s="4" t="s">
        <v>25</v>
      </c>
      <c r="P199" s="4" t="s">
        <v>25</v>
      </c>
      <c r="Q199" s="4" t="s">
        <v>25</v>
      </c>
      <c r="R199" s="22" t="s">
        <v>390</v>
      </c>
      <c r="S199" s="22"/>
      <c r="T199" s="22">
        <v>1</v>
      </c>
      <c r="U199" s="22" t="s">
        <v>385</v>
      </c>
      <c r="V199" s="4" t="s">
        <v>458</v>
      </c>
      <c r="W199" s="4" t="s">
        <v>472</v>
      </c>
      <c r="X199" s="4">
        <v>109</v>
      </c>
      <c r="Z199" s="26">
        <v>61.8</v>
      </c>
      <c r="AA199" s="24">
        <f t="shared" si="3"/>
        <v>8.0906148867313927</v>
      </c>
      <c r="AC199" s="4" t="s">
        <v>469</v>
      </c>
      <c r="AD199" s="12" t="s">
        <v>480</v>
      </c>
    </row>
    <row r="200" spans="1:31" ht="15" customHeight="1">
      <c r="A200" s="4">
        <v>110</v>
      </c>
      <c r="B200" s="4" t="s">
        <v>463</v>
      </c>
      <c r="D200" s="4" t="s">
        <v>421</v>
      </c>
      <c r="E200" s="4">
        <v>57</v>
      </c>
      <c r="F200" s="5" t="s">
        <v>399</v>
      </c>
      <c r="J200" s="22"/>
      <c r="K200" s="43"/>
      <c r="L200" s="22"/>
      <c r="M200" s="22"/>
      <c r="N200" s="22"/>
      <c r="O200" s="4" t="s">
        <v>25</v>
      </c>
      <c r="P200" s="4" t="s">
        <v>25</v>
      </c>
      <c r="Q200" s="4" t="s">
        <v>25</v>
      </c>
      <c r="R200" s="22" t="s">
        <v>390</v>
      </c>
      <c r="S200" s="22"/>
      <c r="T200" s="22">
        <v>1</v>
      </c>
      <c r="U200" s="22" t="s">
        <v>60</v>
      </c>
      <c r="V200" s="4" t="s">
        <v>473</v>
      </c>
      <c r="W200" s="4" t="s">
        <v>473</v>
      </c>
      <c r="X200" s="4">
        <v>110</v>
      </c>
      <c r="Z200" s="26">
        <v>94</v>
      </c>
      <c r="AA200" s="24">
        <f t="shared" si="3"/>
        <v>5.3191489361702127</v>
      </c>
      <c r="AC200" s="4" t="s">
        <v>470</v>
      </c>
      <c r="AD200" s="12" t="s">
        <v>480</v>
      </c>
    </row>
    <row r="201" spans="1:31" ht="15" customHeight="1">
      <c r="A201" s="4">
        <v>111</v>
      </c>
      <c r="B201" s="4" t="s">
        <v>463</v>
      </c>
      <c r="D201" s="4" t="s">
        <v>421</v>
      </c>
      <c r="E201" s="4">
        <v>28</v>
      </c>
      <c r="F201" s="5" t="s">
        <v>399</v>
      </c>
      <c r="J201" s="4" t="s">
        <v>424</v>
      </c>
      <c r="L201" s="8" t="s">
        <v>425</v>
      </c>
      <c r="M201" s="7" t="s">
        <v>25</v>
      </c>
      <c r="N201" s="7" t="s">
        <v>25</v>
      </c>
      <c r="O201" s="7" t="s">
        <v>25</v>
      </c>
      <c r="P201" s="7" t="s">
        <v>25</v>
      </c>
      <c r="Q201" s="7" t="s">
        <v>25</v>
      </c>
      <c r="R201" s="22" t="s">
        <v>390</v>
      </c>
      <c r="S201" s="22"/>
      <c r="T201" s="22">
        <v>1</v>
      </c>
      <c r="U201" s="22" t="s">
        <v>363</v>
      </c>
      <c r="V201" s="4" t="s">
        <v>473</v>
      </c>
      <c r="W201" s="4" t="s">
        <v>458</v>
      </c>
      <c r="X201" s="4">
        <v>111</v>
      </c>
      <c r="Z201" s="26">
        <v>118</v>
      </c>
      <c r="AA201" s="24">
        <f t="shared" si="3"/>
        <v>4.2372881355932206</v>
      </c>
      <c r="AC201" s="4" t="s">
        <v>470</v>
      </c>
      <c r="AD201" s="12" t="s">
        <v>480</v>
      </c>
    </row>
    <row r="202" spans="1:31">
      <c r="A202" s="4">
        <v>112</v>
      </c>
      <c r="B202" s="4" t="s">
        <v>463</v>
      </c>
      <c r="D202" s="4" t="s">
        <v>426</v>
      </c>
      <c r="E202" s="4">
        <v>266</v>
      </c>
      <c r="F202" s="5" t="s">
        <v>399</v>
      </c>
      <c r="G202" s="5" t="s">
        <v>455</v>
      </c>
      <c r="L202" s="8" t="s">
        <v>427</v>
      </c>
      <c r="M202" s="7" t="s">
        <v>25</v>
      </c>
      <c r="N202" s="7" t="s">
        <v>25</v>
      </c>
      <c r="O202" s="7" t="s">
        <v>25</v>
      </c>
      <c r="P202" s="7" t="s">
        <v>25</v>
      </c>
      <c r="Q202" s="7" t="s">
        <v>25</v>
      </c>
      <c r="R202" s="22" t="s">
        <v>390</v>
      </c>
      <c r="S202" s="22"/>
      <c r="T202" s="22">
        <v>1</v>
      </c>
      <c r="U202" s="11" t="s">
        <v>95</v>
      </c>
      <c r="V202" s="4" t="s">
        <v>473</v>
      </c>
      <c r="W202" s="39" t="s">
        <v>472</v>
      </c>
      <c r="X202" s="39">
        <v>112</v>
      </c>
      <c r="Y202" s="39"/>
      <c r="Z202" s="40">
        <v>90.2</v>
      </c>
      <c r="AA202" s="66">
        <f t="shared" si="3"/>
        <v>5.5432372505543235</v>
      </c>
      <c r="AB202" s="39"/>
      <c r="AC202" s="38" t="s">
        <v>469</v>
      </c>
      <c r="AD202" s="49" t="s">
        <v>480</v>
      </c>
    </row>
    <row r="203" spans="1:31" s="27" customFormat="1" ht="15" customHeight="1">
      <c r="A203" s="27">
        <v>113</v>
      </c>
      <c r="B203" s="27" t="s">
        <v>463</v>
      </c>
      <c r="D203" s="27" t="s">
        <v>421</v>
      </c>
      <c r="E203" s="27">
        <v>25</v>
      </c>
      <c r="F203" s="87" t="s">
        <v>399</v>
      </c>
      <c r="G203" s="87"/>
      <c r="H203" s="88"/>
      <c r="I203" s="89"/>
      <c r="J203" s="27" t="s">
        <v>424</v>
      </c>
      <c r="K203" s="90"/>
      <c r="L203" s="91" t="s">
        <v>428</v>
      </c>
      <c r="M203" s="92" t="s">
        <v>25</v>
      </c>
      <c r="N203" s="92" t="s">
        <v>25</v>
      </c>
      <c r="O203" s="92" t="s">
        <v>25</v>
      </c>
      <c r="P203" s="92" t="s">
        <v>25</v>
      </c>
      <c r="Q203" s="92" t="s">
        <v>25</v>
      </c>
      <c r="R203" s="27" t="s">
        <v>390</v>
      </c>
      <c r="T203" s="27">
        <v>1</v>
      </c>
      <c r="U203" s="27" t="s">
        <v>376</v>
      </c>
      <c r="V203" s="27" t="s">
        <v>473</v>
      </c>
      <c r="W203" s="27" t="s">
        <v>472</v>
      </c>
      <c r="X203" s="27">
        <v>113</v>
      </c>
      <c r="Z203" s="27">
        <v>102</v>
      </c>
      <c r="AA203" s="93">
        <f t="shared" si="3"/>
        <v>4.9019607843137258</v>
      </c>
      <c r="AC203" s="27" t="s">
        <v>469</v>
      </c>
      <c r="AD203" s="94" t="s">
        <v>480</v>
      </c>
    </row>
    <row r="204" spans="1:31" s="62" customFormat="1">
      <c r="A204" s="4">
        <v>114</v>
      </c>
      <c r="B204" s="4" t="s">
        <v>463</v>
      </c>
      <c r="C204" s="4"/>
      <c r="D204" s="4" t="s">
        <v>429</v>
      </c>
      <c r="E204" s="4">
        <v>374</v>
      </c>
      <c r="F204" s="5" t="s">
        <v>399</v>
      </c>
      <c r="G204" s="5"/>
      <c r="H204" s="18"/>
      <c r="I204" s="17"/>
      <c r="J204" s="4" t="s">
        <v>423</v>
      </c>
      <c r="K204" s="6"/>
      <c r="L204" s="8" t="s">
        <v>430</v>
      </c>
      <c r="M204" s="7" t="s">
        <v>25</v>
      </c>
      <c r="N204" s="7" t="s">
        <v>25</v>
      </c>
      <c r="O204" s="7" t="s">
        <v>25</v>
      </c>
      <c r="P204" s="7" t="s">
        <v>25</v>
      </c>
      <c r="Q204" s="7" t="s">
        <v>25</v>
      </c>
      <c r="R204" s="22" t="s">
        <v>390</v>
      </c>
      <c r="S204" s="22"/>
      <c r="T204" s="22">
        <v>2</v>
      </c>
      <c r="U204" s="22" t="s">
        <v>346</v>
      </c>
      <c r="V204" s="4" t="s">
        <v>473</v>
      </c>
      <c r="W204" s="4" t="s">
        <v>473</v>
      </c>
      <c r="X204" s="4">
        <v>114</v>
      </c>
      <c r="Y204" s="4">
        <v>200</v>
      </c>
      <c r="Z204" s="26">
        <v>35</v>
      </c>
      <c r="AA204" s="24">
        <f t="shared" si="3"/>
        <v>14.285714285714286</v>
      </c>
      <c r="AB204" s="22"/>
      <c r="AC204" s="4" t="s">
        <v>470</v>
      </c>
      <c r="AD204" s="12" t="s">
        <v>480</v>
      </c>
      <c r="AE204" s="4"/>
    </row>
    <row r="205" spans="1:31">
      <c r="A205" s="4">
        <v>115</v>
      </c>
      <c r="B205" s="4" t="s">
        <v>463</v>
      </c>
      <c r="D205" s="4" t="s">
        <v>431</v>
      </c>
      <c r="E205" s="4">
        <v>202</v>
      </c>
      <c r="F205" s="5" t="s">
        <v>399</v>
      </c>
      <c r="J205" s="4" t="s">
        <v>432</v>
      </c>
      <c r="L205" s="8" t="s">
        <v>433</v>
      </c>
      <c r="M205" s="7" t="s">
        <v>25</v>
      </c>
      <c r="N205" s="7" t="s">
        <v>25</v>
      </c>
      <c r="O205" s="7" t="s">
        <v>25</v>
      </c>
      <c r="P205" s="7" t="s">
        <v>25</v>
      </c>
      <c r="Q205" s="7" t="s">
        <v>25</v>
      </c>
      <c r="R205" s="22" t="s">
        <v>390</v>
      </c>
      <c r="S205" s="22"/>
      <c r="T205" s="22">
        <v>2</v>
      </c>
      <c r="U205" s="22" t="s">
        <v>38</v>
      </c>
      <c r="V205" s="4" t="s">
        <v>458</v>
      </c>
      <c r="W205" s="4" t="s">
        <v>458</v>
      </c>
      <c r="X205" s="4">
        <v>115</v>
      </c>
      <c r="Z205" s="26">
        <v>38.4</v>
      </c>
      <c r="AA205" s="24">
        <f t="shared" si="3"/>
        <v>13.020833333333334</v>
      </c>
      <c r="AC205" s="4" t="s">
        <v>470</v>
      </c>
      <c r="AD205" s="12" t="s">
        <v>480</v>
      </c>
    </row>
    <row r="206" spans="1:31">
      <c r="A206" s="4">
        <v>116</v>
      </c>
      <c r="B206" s="4" t="s">
        <v>463</v>
      </c>
      <c r="D206" s="4" t="s">
        <v>434</v>
      </c>
      <c r="E206" s="4">
        <v>11</v>
      </c>
      <c r="F206" s="5" t="s">
        <v>399</v>
      </c>
      <c r="J206" s="4" t="s">
        <v>437</v>
      </c>
      <c r="K206" s="6" t="s">
        <v>436</v>
      </c>
      <c r="L206" s="8" t="s">
        <v>435</v>
      </c>
      <c r="M206" s="7" t="s">
        <v>25</v>
      </c>
      <c r="N206" s="7" t="s">
        <v>25</v>
      </c>
      <c r="O206" s="7" t="s">
        <v>25</v>
      </c>
      <c r="P206" s="7" t="s">
        <v>25</v>
      </c>
      <c r="Q206" s="7" t="s">
        <v>25</v>
      </c>
      <c r="R206" s="22" t="s">
        <v>390</v>
      </c>
      <c r="S206" s="22"/>
      <c r="T206" s="22">
        <v>1</v>
      </c>
      <c r="U206" s="22" t="s">
        <v>243</v>
      </c>
      <c r="V206" s="4" t="s">
        <v>473</v>
      </c>
      <c r="W206" s="39" t="s">
        <v>473</v>
      </c>
      <c r="X206" s="39">
        <v>116</v>
      </c>
      <c r="Y206" s="39"/>
      <c r="Z206" s="40">
        <v>102</v>
      </c>
      <c r="AA206" s="66">
        <f t="shared" si="3"/>
        <v>4.9019607843137258</v>
      </c>
      <c r="AB206" s="39"/>
      <c r="AC206" s="38" t="s">
        <v>470</v>
      </c>
      <c r="AD206" s="49" t="s">
        <v>480</v>
      </c>
    </row>
    <row r="207" spans="1:31">
      <c r="A207" s="4">
        <v>117</v>
      </c>
      <c r="B207" s="4" t="s">
        <v>463</v>
      </c>
      <c r="D207" s="4" t="s">
        <v>438</v>
      </c>
      <c r="E207" s="4">
        <v>32</v>
      </c>
      <c r="F207" s="1" t="s">
        <v>439</v>
      </c>
      <c r="J207" s="4" t="s">
        <v>441</v>
      </c>
      <c r="L207" s="8" t="s">
        <v>440</v>
      </c>
      <c r="M207" s="7" t="s">
        <v>25</v>
      </c>
      <c r="N207" s="7" t="s">
        <v>25</v>
      </c>
      <c r="O207" s="7" t="s">
        <v>25</v>
      </c>
      <c r="P207" s="7" t="s">
        <v>25</v>
      </c>
      <c r="Q207" s="7" t="s">
        <v>25</v>
      </c>
      <c r="R207" s="22" t="s">
        <v>390</v>
      </c>
      <c r="S207" s="22"/>
      <c r="T207" s="22">
        <v>1</v>
      </c>
      <c r="U207" s="22" t="s">
        <v>309</v>
      </c>
      <c r="V207" s="4" t="s">
        <v>473</v>
      </c>
      <c r="W207" s="39" t="s">
        <v>473</v>
      </c>
      <c r="X207" s="39">
        <v>117</v>
      </c>
      <c r="Y207" s="39"/>
      <c r="Z207" s="40">
        <v>93.4</v>
      </c>
      <c r="AA207" s="66">
        <f t="shared" si="3"/>
        <v>5.3533190578158454</v>
      </c>
      <c r="AB207" s="39"/>
      <c r="AC207" s="38" t="s">
        <v>470</v>
      </c>
      <c r="AD207" s="12" t="s">
        <v>480</v>
      </c>
    </row>
    <row r="208" spans="1:31">
      <c r="A208" s="4">
        <v>118</v>
      </c>
      <c r="B208" s="4" t="s">
        <v>463</v>
      </c>
      <c r="D208" s="4" t="s">
        <v>438</v>
      </c>
      <c r="E208" s="4">
        <v>46</v>
      </c>
      <c r="F208" s="5" t="s">
        <v>452</v>
      </c>
      <c r="L208" s="8" t="s">
        <v>442</v>
      </c>
      <c r="M208" s="7" t="s">
        <v>25</v>
      </c>
      <c r="N208" s="7" t="s">
        <v>25</v>
      </c>
      <c r="O208" s="7" t="s">
        <v>25</v>
      </c>
      <c r="P208" s="7" t="s">
        <v>25</v>
      </c>
      <c r="Q208" s="7" t="s">
        <v>25</v>
      </c>
      <c r="R208" s="22" t="s">
        <v>390</v>
      </c>
      <c r="S208" s="22"/>
      <c r="T208" s="22">
        <v>1</v>
      </c>
      <c r="U208" s="22" t="s">
        <v>364</v>
      </c>
      <c r="V208" s="4" t="s">
        <v>473</v>
      </c>
      <c r="W208" s="4" t="s">
        <v>458</v>
      </c>
      <c r="X208" s="4">
        <v>118</v>
      </c>
      <c r="Z208" s="26">
        <v>106</v>
      </c>
      <c r="AA208" s="24">
        <f t="shared" si="3"/>
        <v>4.716981132075472</v>
      </c>
      <c r="AC208" s="22" t="s">
        <v>469</v>
      </c>
      <c r="AD208" s="12" t="s">
        <v>480</v>
      </c>
      <c r="AE208" s="22"/>
    </row>
    <row r="209" spans="1:31" ht="15" customHeight="1">
      <c r="A209" s="28">
        <v>119</v>
      </c>
      <c r="B209" s="28"/>
      <c r="C209" s="28"/>
      <c r="D209" s="28" t="s">
        <v>438</v>
      </c>
      <c r="E209" s="28">
        <v>49</v>
      </c>
      <c r="F209" s="29" t="s">
        <v>452</v>
      </c>
      <c r="G209" s="29"/>
      <c r="H209" s="30"/>
      <c r="I209" s="31"/>
      <c r="J209" s="28" t="s">
        <v>298</v>
      </c>
      <c r="K209" s="32"/>
      <c r="L209" s="33" t="s">
        <v>443</v>
      </c>
      <c r="M209" s="34" t="s">
        <v>25</v>
      </c>
      <c r="N209" s="34" t="s">
        <v>25</v>
      </c>
      <c r="O209" s="34" t="s">
        <v>25</v>
      </c>
      <c r="P209" s="34" t="s">
        <v>25</v>
      </c>
      <c r="Q209" s="34" t="s">
        <v>25</v>
      </c>
      <c r="R209" s="28" t="s">
        <v>390</v>
      </c>
      <c r="S209" s="28"/>
      <c r="T209" s="28"/>
      <c r="U209" s="28"/>
      <c r="V209" s="28" t="s">
        <v>472</v>
      </c>
      <c r="W209" s="28" t="s">
        <v>472</v>
      </c>
      <c r="X209" s="28">
        <v>119</v>
      </c>
      <c r="Y209" s="28">
        <v>20</v>
      </c>
      <c r="Z209" s="28">
        <v>4.3600000000000003</v>
      </c>
      <c r="AA209" s="35">
        <f t="shared" si="3"/>
        <v>114.6788990825688</v>
      </c>
      <c r="AB209" s="28"/>
      <c r="AC209" s="28" t="s">
        <v>471</v>
      </c>
      <c r="AD209" s="2" t="s">
        <v>480</v>
      </c>
    </row>
    <row r="210" spans="1:31">
      <c r="A210" s="4">
        <v>120</v>
      </c>
      <c r="B210" s="4" t="s">
        <v>463</v>
      </c>
      <c r="D210" s="4" t="s">
        <v>438</v>
      </c>
      <c r="E210" s="4">
        <v>51</v>
      </c>
      <c r="F210" s="5" t="s">
        <v>452</v>
      </c>
      <c r="L210" s="8" t="s">
        <v>444</v>
      </c>
      <c r="M210" s="7" t="s">
        <v>25</v>
      </c>
      <c r="N210" s="7" t="s">
        <v>25</v>
      </c>
      <c r="O210" s="7" t="s">
        <v>25</v>
      </c>
      <c r="P210" s="7" t="s">
        <v>25</v>
      </c>
      <c r="Q210" s="7" t="s">
        <v>25</v>
      </c>
      <c r="R210" s="22" t="s">
        <v>390</v>
      </c>
      <c r="S210" s="22"/>
      <c r="T210" s="22">
        <v>1</v>
      </c>
      <c r="U210" s="22" t="s">
        <v>172</v>
      </c>
      <c r="V210" s="4" t="s">
        <v>473</v>
      </c>
      <c r="W210" s="4" t="s">
        <v>458</v>
      </c>
      <c r="X210" s="4">
        <v>120</v>
      </c>
      <c r="Z210" s="26">
        <v>102</v>
      </c>
      <c r="AA210" s="24">
        <f t="shared" si="3"/>
        <v>4.9019607843137258</v>
      </c>
      <c r="AC210" s="22" t="s">
        <v>470</v>
      </c>
      <c r="AD210" s="12" t="s">
        <v>480</v>
      </c>
    </row>
    <row r="211" spans="1:31">
      <c r="A211" s="4">
        <v>121</v>
      </c>
      <c r="B211" s="4" t="s">
        <v>463</v>
      </c>
      <c r="D211" s="4" t="s">
        <v>438</v>
      </c>
      <c r="E211" s="4">
        <v>91</v>
      </c>
      <c r="F211" s="1" t="s">
        <v>439</v>
      </c>
      <c r="L211" s="8" t="s">
        <v>445</v>
      </c>
      <c r="M211" s="7" t="s">
        <v>25</v>
      </c>
      <c r="N211" s="7" t="s">
        <v>25</v>
      </c>
      <c r="O211" s="7" t="s">
        <v>25</v>
      </c>
      <c r="P211" s="7" t="s">
        <v>25</v>
      </c>
      <c r="Q211" s="7" t="s">
        <v>25</v>
      </c>
      <c r="R211" s="22" t="s">
        <v>390</v>
      </c>
      <c r="S211" s="22"/>
      <c r="T211" s="22">
        <v>1</v>
      </c>
      <c r="U211" s="22" t="s">
        <v>149</v>
      </c>
      <c r="V211" s="4" t="s">
        <v>473</v>
      </c>
      <c r="W211" s="4" t="s">
        <v>472</v>
      </c>
      <c r="X211" s="4">
        <v>121</v>
      </c>
      <c r="Z211" s="26">
        <v>79.599999999999994</v>
      </c>
      <c r="AA211" s="24">
        <f t="shared" si="3"/>
        <v>6.2814070351758797</v>
      </c>
      <c r="AC211" s="22" t="s">
        <v>470</v>
      </c>
      <c r="AD211" s="12" t="s">
        <v>480</v>
      </c>
    </row>
    <row r="212" spans="1:31" s="62" customFormat="1">
      <c r="A212" s="4">
        <v>122</v>
      </c>
      <c r="B212" s="4" t="s">
        <v>463</v>
      </c>
      <c r="C212" s="4"/>
      <c r="D212" s="4" t="s">
        <v>438</v>
      </c>
      <c r="E212" s="4">
        <v>481</v>
      </c>
      <c r="F212" s="5" t="s">
        <v>452</v>
      </c>
      <c r="G212" s="5"/>
      <c r="H212" s="18"/>
      <c r="I212" s="17"/>
      <c r="J212" s="4"/>
      <c r="K212" s="6"/>
      <c r="L212" s="8" t="s">
        <v>446</v>
      </c>
      <c r="M212" s="7" t="s">
        <v>25</v>
      </c>
      <c r="N212" s="7" t="s">
        <v>25</v>
      </c>
      <c r="O212" s="7" t="s">
        <v>25</v>
      </c>
      <c r="P212" s="7" t="s">
        <v>25</v>
      </c>
      <c r="Q212" s="7" t="s">
        <v>25</v>
      </c>
      <c r="R212" s="22" t="s">
        <v>390</v>
      </c>
      <c r="S212" s="22"/>
      <c r="T212" s="22">
        <v>1</v>
      </c>
      <c r="U212" s="22" t="s">
        <v>79</v>
      </c>
      <c r="V212" s="4" t="s">
        <v>473</v>
      </c>
      <c r="W212" s="4" t="s">
        <v>458</v>
      </c>
      <c r="X212" s="4">
        <v>122</v>
      </c>
      <c r="Y212" s="4"/>
      <c r="Z212" s="26">
        <v>108</v>
      </c>
      <c r="AA212" s="24">
        <f t="shared" si="3"/>
        <v>4.6296296296296298</v>
      </c>
      <c r="AB212" s="4"/>
      <c r="AC212" s="22" t="s">
        <v>470</v>
      </c>
      <c r="AD212" s="12" t="s">
        <v>480</v>
      </c>
      <c r="AE212" s="4"/>
    </row>
    <row r="213" spans="1:31">
      <c r="A213" s="4">
        <v>124</v>
      </c>
      <c r="B213" s="4" t="s">
        <v>463</v>
      </c>
      <c r="D213" s="4" t="s">
        <v>438</v>
      </c>
      <c r="E213" s="4">
        <v>113</v>
      </c>
      <c r="F213" s="5" t="s">
        <v>453</v>
      </c>
      <c r="J213" s="4" t="s">
        <v>441</v>
      </c>
      <c r="L213" s="8" t="s">
        <v>447</v>
      </c>
      <c r="M213" s="7" t="s">
        <v>25</v>
      </c>
      <c r="N213" s="7" t="s">
        <v>25</v>
      </c>
      <c r="O213" s="7" t="s">
        <v>25</v>
      </c>
      <c r="P213" s="7" t="s">
        <v>25</v>
      </c>
      <c r="Q213" s="7" t="s">
        <v>25</v>
      </c>
      <c r="R213" s="22" t="s">
        <v>390</v>
      </c>
      <c r="S213" s="22"/>
      <c r="T213" s="22">
        <v>2</v>
      </c>
      <c r="U213" s="22" t="s">
        <v>275</v>
      </c>
      <c r="V213" s="4" t="s">
        <v>473</v>
      </c>
      <c r="W213" s="4" t="s">
        <v>473</v>
      </c>
      <c r="X213" s="4">
        <v>124</v>
      </c>
      <c r="Y213" s="4">
        <v>200</v>
      </c>
      <c r="Z213" s="26">
        <v>36</v>
      </c>
      <c r="AA213" s="24">
        <f t="shared" si="3"/>
        <v>13.888888888888889</v>
      </c>
      <c r="AB213" s="22"/>
      <c r="AC213" s="22" t="s">
        <v>470</v>
      </c>
      <c r="AD213" s="12" t="s">
        <v>480</v>
      </c>
    </row>
    <row r="214" spans="1:31">
      <c r="D214" s="22" t="s">
        <v>506</v>
      </c>
      <c r="E214" s="22">
        <v>770</v>
      </c>
      <c r="F214" s="16" t="s">
        <v>142</v>
      </c>
      <c r="G214" s="16" t="s">
        <v>142</v>
      </c>
      <c r="R214" s="22"/>
      <c r="S214" s="22"/>
      <c r="T214" s="4">
        <v>3</v>
      </c>
      <c r="U214" s="4" t="s">
        <v>311</v>
      </c>
      <c r="V214" s="22" t="s">
        <v>508</v>
      </c>
      <c r="W214" s="22"/>
      <c r="X214" s="22" t="s">
        <v>509</v>
      </c>
      <c r="Z214" s="4">
        <v>1.74</v>
      </c>
      <c r="AA214" s="4">
        <v>287.35632183908046</v>
      </c>
      <c r="AB214" s="22"/>
      <c r="AC214" s="22" t="s">
        <v>471</v>
      </c>
      <c r="AD214" s="47" t="s">
        <v>480</v>
      </c>
    </row>
    <row r="215" spans="1:31">
      <c r="D215" s="22" t="s">
        <v>506</v>
      </c>
      <c r="E215" s="22">
        <v>770</v>
      </c>
      <c r="F215" s="16" t="s">
        <v>142</v>
      </c>
      <c r="G215" s="16" t="s">
        <v>142</v>
      </c>
      <c r="R215" s="22"/>
      <c r="S215" s="22"/>
      <c r="T215" s="4">
        <v>3</v>
      </c>
      <c r="U215" s="4" t="s">
        <v>26</v>
      </c>
      <c r="V215" s="52" t="s">
        <v>507</v>
      </c>
      <c r="W215" s="22"/>
      <c r="X215" s="22"/>
      <c r="Y215" s="4">
        <v>60</v>
      </c>
      <c r="Z215" s="4">
        <v>2.6</v>
      </c>
      <c r="AA215" s="4">
        <v>192.30769230769229</v>
      </c>
      <c r="AB215" s="22" t="s">
        <v>511</v>
      </c>
      <c r="AC215" s="22" t="s">
        <v>471</v>
      </c>
      <c r="AD215" s="47" t="s">
        <v>480</v>
      </c>
      <c r="AE215" s="62"/>
    </row>
    <row r="216" spans="1:31" s="62" customFormat="1">
      <c r="A216" s="4"/>
      <c r="B216" s="4"/>
      <c r="C216" s="4"/>
      <c r="D216" s="51" t="s">
        <v>503</v>
      </c>
      <c r="E216" s="51">
        <v>11597</v>
      </c>
      <c r="F216" s="52" t="s">
        <v>504</v>
      </c>
      <c r="G216" s="53" t="s">
        <v>505</v>
      </c>
      <c r="H216" s="18"/>
      <c r="I216" s="17"/>
      <c r="J216" s="4"/>
      <c r="K216" s="6"/>
      <c r="L216" s="8"/>
      <c r="M216" s="7"/>
      <c r="N216" s="7"/>
      <c r="O216" s="4"/>
      <c r="P216" s="4"/>
      <c r="Q216" s="4"/>
      <c r="R216" s="22"/>
      <c r="S216" s="22"/>
      <c r="T216" s="4">
        <v>3</v>
      </c>
      <c r="U216" s="4" t="s">
        <v>266</v>
      </c>
      <c r="V216" s="52" t="s">
        <v>507</v>
      </c>
      <c r="W216" s="22"/>
      <c r="X216" s="22"/>
      <c r="Y216" s="4"/>
      <c r="Z216" s="4"/>
      <c r="AA216" s="4"/>
      <c r="AB216" s="22"/>
      <c r="AC216" s="22" t="s">
        <v>510</v>
      </c>
      <c r="AD216" s="47" t="s">
        <v>480</v>
      </c>
      <c r="AE216" s="4"/>
    </row>
    <row r="217" spans="1:31">
      <c r="D217" s="51" t="s">
        <v>503</v>
      </c>
      <c r="E217" s="51">
        <v>11546</v>
      </c>
      <c r="F217" s="54" t="s">
        <v>142</v>
      </c>
      <c r="G217" s="54" t="s">
        <v>142</v>
      </c>
      <c r="R217" s="22"/>
      <c r="S217" s="22"/>
      <c r="T217" s="4">
        <v>3</v>
      </c>
      <c r="U217" s="4" t="s">
        <v>326</v>
      </c>
      <c r="V217" s="51" t="s">
        <v>507</v>
      </c>
      <c r="Z217" s="4"/>
      <c r="AA217" s="4"/>
      <c r="AC217" s="51" t="s">
        <v>471</v>
      </c>
      <c r="AD217" s="47" t="s">
        <v>480</v>
      </c>
    </row>
    <row r="218" spans="1:31">
      <c r="R218" s="22"/>
      <c r="S218" s="22"/>
      <c r="Z218" s="4"/>
      <c r="AA218" s="4"/>
    </row>
  </sheetData>
  <autoFilter ref="A1:B213" xr:uid="{00000000-0009-0000-0000-000000000000}"/>
  <sortState ref="A2:AE218">
    <sortCondition ref="A2:A218"/>
  </sortState>
  <pageMargins left="0.7" right="0.7" top="0.75" bottom="0.75" header="0.3" footer="0.3"/>
  <pageSetup paperSize="9" scale="40" fitToHeight="0" orientation="landscape"/>
  <extLst>
    <ext xmlns:mx="http://schemas.microsoft.com/office/mac/excel/2008/main" uri="{64002731-A6B0-56B0-2670-7721B7C09600}">
      <mx:PLV Mode="0" OnePage="0" WScale="0"/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38"/>
  <sheetViews>
    <sheetView workbookViewId="0">
      <pane xSplit="5" ySplit="1" topLeftCell="F126" activePane="bottomRight" state="frozen"/>
      <selection pane="topRight" activeCell="F1" sqref="F1"/>
      <selection pane="bottomLeft" activeCell="A2" sqref="A2"/>
      <selection pane="bottomRight" activeCell="A129" sqref="A129"/>
    </sheetView>
  </sheetViews>
  <sheetFormatPr baseColWidth="10" defaultRowHeight="15"/>
  <cols>
    <col min="1" max="1" width="10.83203125" customWidth="1"/>
    <col min="4" max="7" width="10.83203125" customWidth="1"/>
    <col min="8" max="8" width="7.6640625" customWidth="1"/>
    <col min="9" max="9" width="8.5" customWidth="1"/>
    <col min="11" max="12" width="10.83203125" style="61" customWidth="1"/>
    <col min="13" max="13" width="5.5" bestFit="1" customWidth="1"/>
    <col min="14" max="14" width="8.5" customWidth="1"/>
  </cols>
  <sheetData>
    <row r="1" spans="1:257" ht="16">
      <c r="A1" s="13" t="s">
        <v>465</v>
      </c>
      <c r="B1" s="13" t="s">
        <v>456</v>
      </c>
      <c r="C1" s="13" t="s">
        <v>457</v>
      </c>
      <c r="D1" s="13" t="s">
        <v>474</v>
      </c>
      <c r="E1" s="13" t="s">
        <v>475</v>
      </c>
      <c r="F1" s="13" t="s">
        <v>476</v>
      </c>
      <c r="G1" s="15" t="s">
        <v>467</v>
      </c>
      <c r="H1" s="13" t="s">
        <v>497</v>
      </c>
      <c r="I1" s="13" t="s">
        <v>498</v>
      </c>
      <c r="J1" s="13" t="s">
        <v>459</v>
      </c>
      <c r="K1" s="59" t="s">
        <v>468</v>
      </c>
      <c r="L1" s="59" t="s">
        <v>538</v>
      </c>
      <c r="M1" s="13" t="s">
        <v>500</v>
      </c>
      <c r="N1" s="13" t="s">
        <v>537</v>
      </c>
      <c r="O1" s="13"/>
      <c r="P1" s="13" t="s">
        <v>482</v>
      </c>
      <c r="Q1" s="46" t="s">
        <v>483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</row>
    <row r="2" spans="1:257" ht="16">
      <c r="A2" s="22">
        <v>1</v>
      </c>
      <c r="B2" s="22" t="s">
        <v>20</v>
      </c>
      <c r="C2" s="22">
        <v>1528</v>
      </c>
      <c r="D2" s="22" t="s">
        <v>473</v>
      </c>
      <c r="E2" s="22" t="s">
        <v>0</v>
      </c>
      <c r="F2" s="22">
        <v>1</v>
      </c>
      <c r="G2" s="22">
        <v>100</v>
      </c>
      <c r="H2" s="22">
        <v>1</v>
      </c>
      <c r="I2" s="22" t="s">
        <v>107</v>
      </c>
      <c r="J2" s="26">
        <v>44.6</v>
      </c>
      <c r="K2" s="60">
        <f>500/J2</f>
        <v>11.210762331838565</v>
      </c>
      <c r="L2" s="11">
        <f t="shared" ref="L2:L33" si="0">26-K2</f>
        <v>14.789237668161435</v>
      </c>
      <c r="M2" s="22">
        <v>1</v>
      </c>
      <c r="N2" s="37" t="s">
        <v>371</v>
      </c>
      <c r="O2" s="22" t="s">
        <v>539</v>
      </c>
      <c r="P2" s="22" t="s">
        <v>469</v>
      </c>
      <c r="Q2" s="12" t="s">
        <v>480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spans="1:257" ht="16">
      <c r="A3" s="4">
        <v>2</v>
      </c>
      <c r="B3" s="22" t="s">
        <v>10</v>
      </c>
      <c r="C3" s="22">
        <v>3084</v>
      </c>
      <c r="D3" s="22" t="s">
        <v>472</v>
      </c>
      <c r="E3" s="22" t="s">
        <v>472</v>
      </c>
      <c r="F3" s="22">
        <v>2</v>
      </c>
      <c r="G3" s="4">
        <v>150</v>
      </c>
      <c r="H3" s="22">
        <v>2</v>
      </c>
      <c r="I3" s="22" t="s">
        <v>51</v>
      </c>
      <c r="J3" s="26">
        <v>41.2</v>
      </c>
      <c r="K3" s="60">
        <f>500/J3</f>
        <v>12.135922330097086</v>
      </c>
      <c r="L3" s="11">
        <f t="shared" si="0"/>
        <v>13.864077669902914</v>
      </c>
      <c r="M3" s="22">
        <v>1</v>
      </c>
      <c r="N3" s="37" t="s">
        <v>186</v>
      </c>
      <c r="O3" s="4" t="s">
        <v>539</v>
      </c>
      <c r="P3" s="22" t="s">
        <v>469</v>
      </c>
      <c r="Q3" s="12" t="s">
        <v>480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spans="1:257" ht="16">
      <c r="A4" s="4">
        <v>3</v>
      </c>
      <c r="B4" s="22" t="s">
        <v>10</v>
      </c>
      <c r="C4" s="22">
        <v>1076</v>
      </c>
      <c r="D4" s="22" t="s">
        <v>473</v>
      </c>
      <c r="E4" s="22" t="s">
        <v>473</v>
      </c>
      <c r="F4" s="22">
        <v>3</v>
      </c>
      <c r="G4" s="4" t="s">
        <v>479</v>
      </c>
      <c r="H4" s="22">
        <v>1</v>
      </c>
      <c r="I4" s="22" t="s">
        <v>370</v>
      </c>
      <c r="J4" s="26">
        <v>61.2</v>
      </c>
      <c r="K4" s="60">
        <f>500/J4</f>
        <v>8.1699346405228752</v>
      </c>
      <c r="L4" s="11">
        <f t="shared" si="0"/>
        <v>17.830065359477125</v>
      </c>
      <c r="M4" s="22">
        <v>1</v>
      </c>
      <c r="N4" s="37" t="s">
        <v>254</v>
      </c>
      <c r="O4" s="22" t="s">
        <v>539</v>
      </c>
      <c r="P4" s="4" t="s">
        <v>470</v>
      </c>
      <c r="Q4" s="12" t="s">
        <v>480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spans="1:257" ht="16">
      <c r="A5" s="22">
        <v>4</v>
      </c>
      <c r="B5" s="22" t="s">
        <v>20</v>
      </c>
      <c r="C5" s="22">
        <v>1085</v>
      </c>
      <c r="D5" s="22" t="s">
        <v>472</v>
      </c>
      <c r="E5" s="22" t="s">
        <v>472</v>
      </c>
      <c r="F5" s="22">
        <v>4</v>
      </c>
      <c r="G5" s="22">
        <v>20</v>
      </c>
      <c r="H5" s="22">
        <v>2</v>
      </c>
      <c r="I5" s="22" t="s">
        <v>100</v>
      </c>
      <c r="J5" s="26">
        <v>25.8</v>
      </c>
      <c r="K5" s="64">
        <v>17</v>
      </c>
      <c r="L5" s="65">
        <f t="shared" si="0"/>
        <v>9</v>
      </c>
      <c r="M5" s="22">
        <v>2</v>
      </c>
      <c r="N5" s="22" t="s">
        <v>377</v>
      </c>
      <c r="O5" s="22" t="s">
        <v>539</v>
      </c>
      <c r="P5" s="22" t="s">
        <v>469</v>
      </c>
      <c r="Q5" s="12" t="s">
        <v>480</v>
      </c>
      <c r="R5" s="62" t="s">
        <v>540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</row>
    <row r="6" spans="1:257" ht="16">
      <c r="A6" s="4">
        <v>5</v>
      </c>
      <c r="B6" s="22" t="s">
        <v>10</v>
      </c>
      <c r="C6" s="22">
        <v>4007</v>
      </c>
      <c r="D6" s="37" t="s">
        <v>458</v>
      </c>
      <c r="E6" s="37" t="s">
        <v>472</v>
      </c>
      <c r="F6" s="37" t="s">
        <v>495</v>
      </c>
      <c r="G6" s="37">
        <v>20</v>
      </c>
      <c r="H6" s="22">
        <v>2</v>
      </c>
      <c r="I6" s="11" t="s">
        <v>95</v>
      </c>
      <c r="J6" s="45">
        <v>33.6</v>
      </c>
      <c r="K6" s="60">
        <f>500/J6</f>
        <v>14.88095238095238</v>
      </c>
      <c r="L6" s="11">
        <f t="shared" si="0"/>
        <v>11.11904761904762</v>
      </c>
      <c r="M6" s="22">
        <v>2</v>
      </c>
      <c r="N6" s="11" t="s">
        <v>275</v>
      </c>
      <c r="O6" s="37" t="s">
        <v>539</v>
      </c>
      <c r="P6" s="44" t="s">
        <v>469</v>
      </c>
      <c r="Q6" s="47" t="s">
        <v>480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</row>
    <row r="7" spans="1:257" ht="16">
      <c r="A7" s="4">
        <v>5</v>
      </c>
      <c r="B7" s="22" t="s">
        <v>10</v>
      </c>
      <c r="C7" s="22">
        <v>4006</v>
      </c>
      <c r="D7" s="22" t="s">
        <v>472</v>
      </c>
      <c r="E7" s="22" t="s">
        <v>472</v>
      </c>
      <c r="F7" s="22">
        <v>5</v>
      </c>
      <c r="G7" s="22">
        <v>250</v>
      </c>
      <c r="H7" s="22">
        <v>2</v>
      </c>
      <c r="I7" s="22" t="s">
        <v>238</v>
      </c>
      <c r="J7" s="26">
        <v>26.6</v>
      </c>
      <c r="K7" s="60">
        <f>500/J7</f>
        <v>18.796992481203006</v>
      </c>
      <c r="L7" s="11">
        <f t="shared" si="0"/>
        <v>7.2030075187969942</v>
      </c>
      <c r="M7" s="22">
        <v>2</v>
      </c>
      <c r="N7" s="22" t="s">
        <v>115</v>
      </c>
      <c r="O7" s="22" t="s">
        <v>539</v>
      </c>
      <c r="P7" s="22" t="s">
        <v>469</v>
      </c>
      <c r="Q7" s="12" t="s">
        <v>480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</row>
    <row r="8" spans="1:257" ht="16">
      <c r="A8" s="4">
        <v>6</v>
      </c>
      <c r="B8" s="22" t="s">
        <v>10</v>
      </c>
      <c r="C8" s="22">
        <v>2649</v>
      </c>
      <c r="D8" s="22" t="s">
        <v>472</v>
      </c>
      <c r="E8" s="22" t="s">
        <v>472</v>
      </c>
      <c r="F8" s="22">
        <v>6</v>
      </c>
      <c r="G8" s="4">
        <v>20</v>
      </c>
      <c r="H8" s="22">
        <v>2</v>
      </c>
      <c r="I8" s="22" t="s">
        <v>366</v>
      </c>
      <c r="J8" s="26">
        <v>33</v>
      </c>
      <c r="K8" s="60">
        <f>500/J8</f>
        <v>15.151515151515152</v>
      </c>
      <c r="L8" s="11">
        <f t="shared" si="0"/>
        <v>10.848484848484848</v>
      </c>
      <c r="M8" s="22">
        <v>2</v>
      </c>
      <c r="N8" s="22" t="s">
        <v>346</v>
      </c>
      <c r="O8" s="4" t="s">
        <v>539</v>
      </c>
      <c r="P8" s="22" t="s">
        <v>469</v>
      </c>
      <c r="Q8" s="12" t="s">
        <v>480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spans="1:257" ht="16">
      <c r="A9" s="22">
        <v>7</v>
      </c>
      <c r="B9" s="22" t="s">
        <v>20</v>
      </c>
      <c r="C9" s="22">
        <v>1090</v>
      </c>
      <c r="D9" s="22" t="s">
        <v>458</v>
      </c>
      <c r="E9" s="22" t="s">
        <v>472</v>
      </c>
      <c r="F9" s="22">
        <v>7</v>
      </c>
      <c r="G9" s="22">
        <v>150</v>
      </c>
      <c r="H9" s="22">
        <v>1</v>
      </c>
      <c r="I9" s="22" t="s">
        <v>100</v>
      </c>
      <c r="J9" s="26">
        <v>72.8</v>
      </c>
      <c r="K9" s="60">
        <f>500/J9</f>
        <v>6.8681318681318686</v>
      </c>
      <c r="L9" s="11">
        <f t="shared" si="0"/>
        <v>19.131868131868131</v>
      </c>
      <c r="M9" s="22">
        <v>1</v>
      </c>
      <c r="N9" s="37" t="s">
        <v>367</v>
      </c>
      <c r="O9" s="4" t="s">
        <v>539</v>
      </c>
      <c r="P9" s="22" t="s">
        <v>469</v>
      </c>
      <c r="Q9" s="12" t="s">
        <v>480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spans="1:257" ht="16">
      <c r="A10" s="22">
        <v>7</v>
      </c>
      <c r="B10" s="4" t="s">
        <v>20</v>
      </c>
      <c r="C10" s="4">
        <v>1091</v>
      </c>
      <c r="D10" s="22" t="s">
        <v>458</v>
      </c>
      <c r="E10" s="22" t="s">
        <v>458</v>
      </c>
      <c r="F10" s="22" t="s">
        <v>541</v>
      </c>
      <c r="G10" s="4">
        <v>146</v>
      </c>
      <c r="H10" s="22">
        <v>2</v>
      </c>
      <c r="I10" s="22" t="s">
        <v>386</v>
      </c>
      <c r="J10" s="26">
        <v>37.799999999999997</v>
      </c>
      <c r="K10" s="60">
        <v>13.227513227513228</v>
      </c>
      <c r="L10" s="11">
        <f t="shared" si="0"/>
        <v>12.772486772486772</v>
      </c>
      <c r="M10" s="22">
        <v>2</v>
      </c>
      <c r="N10" s="22" t="s">
        <v>257</v>
      </c>
      <c r="O10" s="4" t="s">
        <v>539</v>
      </c>
      <c r="P10" s="22" t="s">
        <v>470</v>
      </c>
      <c r="Q10" s="12" t="s">
        <v>480</v>
      </c>
      <c r="R10" s="4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</row>
    <row r="11" spans="1:257" ht="16">
      <c r="A11" s="4">
        <v>8</v>
      </c>
      <c r="B11" s="22" t="s">
        <v>10</v>
      </c>
      <c r="C11" s="22">
        <v>3936</v>
      </c>
      <c r="D11" s="22" t="s">
        <v>473</v>
      </c>
      <c r="E11" s="22" t="s">
        <v>473</v>
      </c>
      <c r="F11" s="22">
        <v>8</v>
      </c>
      <c r="G11" s="22">
        <v>250</v>
      </c>
      <c r="H11" s="22">
        <v>1</v>
      </c>
      <c r="I11" s="22" t="s">
        <v>301</v>
      </c>
      <c r="J11" s="26">
        <v>104</v>
      </c>
      <c r="K11" s="60">
        <f>500/J11</f>
        <v>4.8076923076923075</v>
      </c>
      <c r="L11" s="11">
        <f t="shared" si="0"/>
        <v>21.192307692307693</v>
      </c>
      <c r="M11" s="22">
        <v>1</v>
      </c>
      <c r="N11" s="22" t="s">
        <v>79</v>
      </c>
      <c r="O11" s="22" t="s">
        <v>539</v>
      </c>
      <c r="P11" s="22" t="s">
        <v>470</v>
      </c>
      <c r="Q11" s="12" t="s">
        <v>480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</row>
    <row r="12" spans="1:257" ht="16">
      <c r="A12" s="4">
        <v>9</v>
      </c>
      <c r="B12" s="22" t="s">
        <v>20</v>
      </c>
      <c r="C12" s="22">
        <v>894</v>
      </c>
      <c r="D12" s="22" t="s">
        <v>473</v>
      </c>
      <c r="E12" s="22" t="s">
        <v>473</v>
      </c>
      <c r="F12" s="22">
        <v>9</v>
      </c>
      <c r="G12" s="4">
        <v>100</v>
      </c>
      <c r="H12" s="22">
        <v>1</v>
      </c>
      <c r="I12" s="22" t="s">
        <v>326</v>
      </c>
      <c r="J12" s="26">
        <v>50.6</v>
      </c>
      <c r="K12" s="60">
        <f>500/J12</f>
        <v>9.8814229249011856</v>
      </c>
      <c r="L12" s="11">
        <f t="shared" si="0"/>
        <v>16.118577075098813</v>
      </c>
      <c r="M12" s="22">
        <v>1</v>
      </c>
      <c r="N12" s="37" t="s">
        <v>385</v>
      </c>
      <c r="O12" s="22" t="s">
        <v>539</v>
      </c>
      <c r="P12" s="22" t="s">
        <v>470</v>
      </c>
      <c r="Q12" s="12" t="s">
        <v>480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</row>
    <row r="13" spans="1:257" ht="16">
      <c r="A13" s="22">
        <v>9</v>
      </c>
      <c r="B13" s="4" t="s">
        <v>20</v>
      </c>
      <c r="C13" s="4">
        <v>1647</v>
      </c>
      <c r="D13" s="22" t="s">
        <v>473</v>
      </c>
      <c r="E13" s="22" t="s">
        <v>472</v>
      </c>
      <c r="F13" s="22" t="s">
        <v>541</v>
      </c>
      <c r="G13" s="4">
        <v>116</v>
      </c>
      <c r="H13" s="22">
        <v>2</v>
      </c>
      <c r="I13" s="22" t="s">
        <v>385</v>
      </c>
      <c r="J13" s="26">
        <v>42.2</v>
      </c>
      <c r="K13" s="60">
        <v>11.848341232227487</v>
      </c>
      <c r="L13" s="11">
        <f t="shared" si="0"/>
        <v>14.151658767772513</v>
      </c>
      <c r="M13" s="22">
        <v>2</v>
      </c>
      <c r="N13" s="22" t="s">
        <v>186</v>
      </c>
      <c r="O13" s="4" t="s">
        <v>539</v>
      </c>
      <c r="P13" s="22" t="s">
        <v>469</v>
      </c>
      <c r="Q13" s="12" t="s">
        <v>480</v>
      </c>
      <c r="R13" s="4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  <c r="GJ13" s="71"/>
      <c r="GK13" s="71"/>
      <c r="GL13" s="71"/>
      <c r="GM13" s="71"/>
      <c r="GN13" s="71"/>
      <c r="GO13" s="71"/>
      <c r="GP13" s="71"/>
      <c r="GQ13" s="71"/>
      <c r="GR13" s="71"/>
      <c r="GS13" s="71"/>
      <c r="GT13" s="71"/>
      <c r="GU13" s="71"/>
      <c r="GV13" s="71"/>
      <c r="GW13" s="71"/>
      <c r="GX13" s="71"/>
      <c r="GY13" s="71"/>
      <c r="GZ13" s="71"/>
      <c r="HA13" s="71"/>
      <c r="HB13" s="71"/>
      <c r="HC13" s="71"/>
      <c r="HD13" s="71"/>
      <c r="HE13" s="71"/>
      <c r="HF13" s="71"/>
      <c r="HG13" s="71"/>
      <c r="HH13" s="71"/>
      <c r="HI13" s="71"/>
      <c r="HJ13" s="71"/>
      <c r="HK13" s="71"/>
      <c r="HL13" s="71"/>
      <c r="HM13" s="71"/>
      <c r="HN13" s="71"/>
      <c r="HO13" s="71"/>
      <c r="HP13" s="71"/>
      <c r="HQ13" s="71"/>
      <c r="HR13" s="71"/>
      <c r="HS13" s="71"/>
      <c r="HT13" s="71"/>
      <c r="HU13" s="71"/>
      <c r="HV13" s="71"/>
      <c r="HW13" s="71"/>
      <c r="HX13" s="71"/>
      <c r="HY13" s="71"/>
      <c r="HZ13" s="71"/>
      <c r="IA13" s="71"/>
      <c r="IB13" s="71"/>
      <c r="IC13" s="71"/>
      <c r="ID13" s="71"/>
      <c r="IE13" s="71"/>
      <c r="IF13" s="71"/>
      <c r="IG13" s="71"/>
      <c r="IH13" s="71"/>
      <c r="II13" s="71"/>
      <c r="IJ13" s="71"/>
      <c r="IK13" s="71"/>
      <c r="IL13" s="71"/>
      <c r="IM13" s="71"/>
      <c r="IN13" s="71"/>
      <c r="IO13" s="71"/>
      <c r="IP13" s="71"/>
      <c r="IQ13" s="71"/>
      <c r="IR13" s="71"/>
      <c r="IS13" s="71"/>
      <c r="IT13" s="71"/>
      <c r="IU13" s="71"/>
      <c r="IV13" s="71"/>
      <c r="IW13" s="71"/>
    </row>
    <row r="14" spans="1:257" ht="16">
      <c r="A14" s="22">
        <v>10</v>
      </c>
      <c r="B14" s="4" t="s">
        <v>133</v>
      </c>
      <c r="C14" s="4">
        <v>160</v>
      </c>
      <c r="D14" s="4" t="s">
        <v>473</v>
      </c>
      <c r="E14" s="4" t="s">
        <v>458</v>
      </c>
      <c r="F14" s="4" t="s">
        <v>489</v>
      </c>
      <c r="G14" s="4">
        <v>98</v>
      </c>
      <c r="H14" s="22">
        <v>1</v>
      </c>
      <c r="I14" s="22" t="s">
        <v>51</v>
      </c>
      <c r="J14" s="26">
        <v>114</v>
      </c>
      <c r="K14" s="60">
        <f t="shared" ref="K14:K25" si="1">500/J14</f>
        <v>4.3859649122807021</v>
      </c>
      <c r="L14" s="11">
        <f t="shared" si="0"/>
        <v>21.614035087719298</v>
      </c>
      <c r="M14" s="22">
        <v>1</v>
      </c>
      <c r="N14" s="22" t="s">
        <v>51</v>
      </c>
      <c r="O14" s="63"/>
      <c r="P14" s="22" t="s">
        <v>470</v>
      </c>
      <c r="Q14" s="47" t="s">
        <v>480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1:257" ht="16">
      <c r="A15" s="4">
        <v>11</v>
      </c>
      <c r="B15" s="4" t="s">
        <v>20</v>
      </c>
      <c r="C15" s="4">
        <v>861</v>
      </c>
      <c r="D15" s="4" t="s">
        <v>473</v>
      </c>
      <c r="E15" s="4" t="s">
        <v>0</v>
      </c>
      <c r="F15" s="4" t="s">
        <v>489</v>
      </c>
      <c r="G15" s="4">
        <v>45</v>
      </c>
      <c r="H15" s="22">
        <v>1</v>
      </c>
      <c r="I15" s="22" t="s">
        <v>323</v>
      </c>
      <c r="J15" s="26">
        <v>79</v>
      </c>
      <c r="K15" s="60">
        <f t="shared" si="1"/>
        <v>6.3291139240506329</v>
      </c>
      <c r="L15" s="11">
        <f t="shared" si="0"/>
        <v>19.670886075949369</v>
      </c>
      <c r="M15" s="22">
        <v>1</v>
      </c>
      <c r="N15" s="37" t="s">
        <v>94</v>
      </c>
      <c r="O15" s="4" t="s">
        <v>539</v>
      </c>
      <c r="P15" s="22" t="s">
        <v>469</v>
      </c>
      <c r="Q15" s="47" t="s">
        <v>480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</row>
    <row r="16" spans="1:257" ht="16">
      <c r="A16" s="4">
        <v>12</v>
      </c>
      <c r="B16" s="4" t="s">
        <v>10</v>
      </c>
      <c r="C16" s="4">
        <v>1013</v>
      </c>
      <c r="D16" s="4" t="s">
        <v>473</v>
      </c>
      <c r="E16" s="4" t="s">
        <v>458</v>
      </c>
      <c r="F16" s="4" t="s">
        <v>489</v>
      </c>
      <c r="G16" s="4">
        <v>98</v>
      </c>
      <c r="H16" s="22">
        <v>1</v>
      </c>
      <c r="I16" s="22" t="s">
        <v>222</v>
      </c>
      <c r="J16" s="26">
        <v>44</v>
      </c>
      <c r="K16" s="60">
        <f t="shared" si="1"/>
        <v>11.363636363636363</v>
      </c>
      <c r="L16" s="11">
        <f t="shared" si="0"/>
        <v>14.636363636363637</v>
      </c>
      <c r="M16" s="22">
        <v>1</v>
      </c>
      <c r="N16" s="37" t="s">
        <v>319</v>
      </c>
      <c r="O16" s="4" t="s">
        <v>539</v>
      </c>
      <c r="P16" s="22" t="s">
        <v>470</v>
      </c>
      <c r="Q16" s="47" t="s">
        <v>480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</row>
    <row r="17" spans="1:257" ht="16">
      <c r="A17" s="4">
        <v>12</v>
      </c>
      <c r="B17" s="22" t="s">
        <v>10</v>
      </c>
      <c r="C17" s="22">
        <v>1014</v>
      </c>
      <c r="D17" s="22" t="s">
        <v>458</v>
      </c>
      <c r="E17" s="22" t="s">
        <v>473</v>
      </c>
      <c r="F17" s="22">
        <v>12</v>
      </c>
      <c r="G17" s="4">
        <v>100</v>
      </c>
      <c r="H17" s="22">
        <v>2</v>
      </c>
      <c r="I17" s="22" t="s">
        <v>381</v>
      </c>
      <c r="J17" s="26">
        <v>22</v>
      </c>
      <c r="K17" s="60">
        <f t="shared" si="1"/>
        <v>22.727272727272727</v>
      </c>
      <c r="L17" s="11">
        <f t="shared" si="0"/>
        <v>3.2727272727272734</v>
      </c>
      <c r="M17" s="22">
        <v>2</v>
      </c>
      <c r="N17" s="22" t="s">
        <v>130</v>
      </c>
      <c r="O17" s="22" t="s">
        <v>539</v>
      </c>
      <c r="P17" s="22" t="s">
        <v>470</v>
      </c>
      <c r="Q17" s="12" t="s">
        <v>480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</row>
    <row r="18" spans="1:257" ht="16">
      <c r="A18" s="22">
        <v>13</v>
      </c>
      <c r="B18" s="22" t="s">
        <v>20</v>
      </c>
      <c r="C18" s="22">
        <v>1104</v>
      </c>
      <c r="D18" s="22" t="s">
        <v>473</v>
      </c>
      <c r="E18" s="22" t="s">
        <v>0</v>
      </c>
      <c r="F18" s="22">
        <v>13</v>
      </c>
      <c r="G18" s="22">
        <v>250</v>
      </c>
      <c r="H18" s="22">
        <v>1</v>
      </c>
      <c r="I18" s="11" t="s">
        <v>55</v>
      </c>
      <c r="J18" s="26">
        <v>106</v>
      </c>
      <c r="K18" s="60">
        <f t="shared" si="1"/>
        <v>4.716981132075472</v>
      </c>
      <c r="L18" s="11">
        <f t="shared" si="0"/>
        <v>21.283018867924529</v>
      </c>
      <c r="M18" s="22">
        <v>1</v>
      </c>
      <c r="N18" s="11" t="s">
        <v>514</v>
      </c>
      <c r="O18" s="22"/>
      <c r="P18" s="22" t="s">
        <v>469</v>
      </c>
      <c r="Q18" s="12" t="s">
        <v>480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1:257" ht="16">
      <c r="A19" s="4">
        <v>13</v>
      </c>
      <c r="B19" s="22" t="s">
        <v>261</v>
      </c>
      <c r="C19" s="22">
        <v>314</v>
      </c>
      <c r="D19" s="37" t="s">
        <v>458</v>
      </c>
      <c r="E19" s="37" t="s">
        <v>472</v>
      </c>
      <c r="F19" s="37" t="s">
        <v>495</v>
      </c>
      <c r="G19" s="37">
        <v>25</v>
      </c>
      <c r="H19" s="22">
        <v>2</v>
      </c>
      <c r="I19" s="22" t="s">
        <v>367</v>
      </c>
      <c r="J19" s="45">
        <v>30.2</v>
      </c>
      <c r="K19" s="60">
        <f t="shared" si="1"/>
        <v>16.556291390728479</v>
      </c>
      <c r="L19" s="11">
        <f t="shared" si="0"/>
        <v>9.4437086092715212</v>
      </c>
      <c r="M19" s="22">
        <v>2</v>
      </c>
      <c r="N19" s="22" t="s">
        <v>366</v>
      </c>
      <c r="O19" s="4" t="s">
        <v>539</v>
      </c>
      <c r="P19" s="44" t="s">
        <v>469</v>
      </c>
      <c r="Q19" s="48" t="s">
        <v>480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</row>
    <row r="20" spans="1:257" ht="16">
      <c r="A20" s="4">
        <v>14</v>
      </c>
      <c r="B20" s="22" t="s">
        <v>10</v>
      </c>
      <c r="C20" s="22">
        <v>2700</v>
      </c>
      <c r="D20" s="4" t="s">
        <v>472</v>
      </c>
      <c r="E20" s="4" t="s">
        <v>472</v>
      </c>
      <c r="F20" s="22">
        <v>14</v>
      </c>
      <c r="G20" s="4">
        <v>20</v>
      </c>
      <c r="H20" s="22">
        <v>1</v>
      </c>
      <c r="I20" s="22" t="s">
        <v>254</v>
      </c>
      <c r="J20" s="26">
        <v>71.599999999999994</v>
      </c>
      <c r="K20" s="60">
        <f t="shared" si="1"/>
        <v>6.9832402234636879</v>
      </c>
      <c r="L20" s="11">
        <f t="shared" si="0"/>
        <v>19.016759776536311</v>
      </c>
      <c r="M20" s="22">
        <v>1</v>
      </c>
      <c r="N20" s="37" t="s">
        <v>368</v>
      </c>
      <c r="O20" s="4" t="s">
        <v>539</v>
      </c>
      <c r="P20" s="22" t="s">
        <v>469</v>
      </c>
      <c r="Q20" s="12" t="s">
        <v>480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</row>
    <row r="21" spans="1:257" ht="16">
      <c r="A21" s="4">
        <v>15</v>
      </c>
      <c r="B21" s="4" t="s">
        <v>20</v>
      </c>
      <c r="C21" s="4">
        <v>1751</v>
      </c>
      <c r="D21" s="4" t="s">
        <v>473</v>
      </c>
      <c r="E21" s="4" t="s">
        <v>0</v>
      </c>
      <c r="F21" s="4" t="s">
        <v>489</v>
      </c>
      <c r="G21" s="4" t="s">
        <v>494</v>
      </c>
      <c r="H21" s="22">
        <v>2</v>
      </c>
      <c r="I21" s="22" t="s">
        <v>309</v>
      </c>
      <c r="J21" s="26">
        <v>34.4</v>
      </c>
      <c r="K21" s="60">
        <f t="shared" si="1"/>
        <v>14.534883720930234</v>
      </c>
      <c r="L21" s="11">
        <f t="shared" si="0"/>
        <v>11.465116279069766</v>
      </c>
      <c r="M21" s="22">
        <v>2</v>
      </c>
      <c r="N21" s="22" t="s">
        <v>38</v>
      </c>
      <c r="O21" s="4" t="s">
        <v>539</v>
      </c>
      <c r="P21" s="22" t="s">
        <v>469</v>
      </c>
      <c r="Q21" s="47" t="s">
        <v>480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</row>
    <row r="22" spans="1:257" ht="16">
      <c r="A22" s="4">
        <v>17</v>
      </c>
      <c r="B22" s="22" t="s">
        <v>10</v>
      </c>
      <c r="C22" s="22">
        <v>3801</v>
      </c>
      <c r="D22" s="22" t="s">
        <v>473</v>
      </c>
      <c r="E22" s="22" t="s">
        <v>472</v>
      </c>
      <c r="F22" s="22">
        <v>17</v>
      </c>
      <c r="G22" s="4">
        <v>250</v>
      </c>
      <c r="H22" s="22">
        <v>2</v>
      </c>
      <c r="I22" s="22" t="s">
        <v>254</v>
      </c>
      <c r="J22" s="26">
        <v>25.4</v>
      </c>
      <c r="K22" s="60">
        <f t="shared" si="1"/>
        <v>19.685039370078741</v>
      </c>
      <c r="L22" s="11">
        <f t="shared" si="0"/>
        <v>6.3149606299212593</v>
      </c>
      <c r="M22" s="22">
        <v>2</v>
      </c>
      <c r="N22" s="22" t="s">
        <v>379</v>
      </c>
      <c r="O22" s="4" t="s">
        <v>539</v>
      </c>
      <c r="P22" s="22" t="s">
        <v>469</v>
      </c>
      <c r="Q22" s="12" t="s">
        <v>480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</row>
    <row r="23" spans="1:257" ht="16">
      <c r="A23" s="22">
        <v>18</v>
      </c>
      <c r="B23" s="4" t="s">
        <v>10</v>
      </c>
      <c r="C23" s="4">
        <v>2155</v>
      </c>
      <c r="D23" s="4" t="s">
        <v>473</v>
      </c>
      <c r="E23" s="4" t="s">
        <v>458</v>
      </c>
      <c r="F23" s="4" t="s">
        <v>489</v>
      </c>
      <c r="G23" s="4">
        <v>98</v>
      </c>
      <c r="H23" s="22">
        <v>1</v>
      </c>
      <c r="I23" s="22" t="s">
        <v>368</v>
      </c>
      <c r="J23" s="26">
        <v>80.400000000000006</v>
      </c>
      <c r="K23" s="60">
        <f t="shared" si="1"/>
        <v>6.2189054726368154</v>
      </c>
      <c r="L23" s="11">
        <f t="shared" si="0"/>
        <v>19.781094527363184</v>
      </c>
      <c r="M23" s="22">
        <v>1</v>
      </c>
      <c r="N23" s="37" t="s">
        <v>519</v>
      </c>
      <c r="O23" s="4" t="s">
        <v>539</v>
      </c>
      <c r="P23" s="22" t="s">
        <v>470</v>
      </c>
      <c r="Q23" s="47" t="s">
        <v>480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</row>
    <row r="24" spans="1:257" ht="16">
      <c r="A24" s="4">
        <v>19</v>
      </c>
      <c r="B24" s="4" t="s">
        <v>80</v>
      </c>
      <c r="C24" s="4">
        <v>36</v>
      </c>
      <c r="D24" s="4" t="s">
        <v>458</v>
      </c>
      <c r="E24" s="4" t="s">
        <v>473</v>
      </c>
      <c r="F24" s="4" t="s">
        <v>489</v>
      </c>
      <c r="G24" s="4">
        <v>98</v>
      </c>
      <c r="H24" s="22">
        <v>1</v>
      </c>
      <c r="I24" s="22" t="s">
        <v>29</v>
      </c>
      <c r="J24" s="26">
        <v>54.6</v>
      </c>
      <c r="K24" s="60">
        <f t="shared" si="1"/>
        <v>9.1575091575091569</v>
      </c>
      <c r="L24" s="11">
        <f t="shared" si="0"/>
        <v>16.842490842490843</v>
      </c>
      <c r="M24" s="22">
        <v>1</v>
      </c>
      <c r="N24" s="37" t="s">
        <v>378</v>
      </c>
      <c r="O24" s="4" t="s">
        <v>539</v>
      </c>
      <c r="P24" s="22" t="s">
        <v>490</v>
      </c>
      <c r="Q24" s="47" t="s">
        <v>480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</row>
    <row r="25" spans="1:257" ht="16">
      <c r="A25" s="4">
        <v>20</v>
      </c>
      <c r="B25" s="22" t="s">
        <v>10</v>
      </c>
      <c r="C25" s="22">
        <v>2907</v>
      </c>
      <c r="D25" s="22" t="s">
        <v>458</v>
      </c>
      <c r="E25" s="22" t="s">
        <v>458</v>
      </c>
      <c r="F25" s="22">
        <v>20</v>
      </c>
      <c r="G25" s="4">
        <v>150</v>
      </c>
      <c r="H25" s="22">
        <v>2</v>
      </c>
      <c r="I25" s="22" t="s">
        <v>219</v>
      </c>
      <c r="J25" s="26">
        <v>31.6</v>
      </c>
      <c r="K25" s="60">
        <f t="shared" si="1"/>
        <v>15.822784810126581</v>
      </c>
      <c r="L25" s="11">
        <f t="shared" si="0"/>
        <v>10.177215189873419</v>
      </c>
      <c r="M25" s="22">
        <v>2</v>
      </c>
      <c r="N25" s="22" t="s">
        <v>94</v>
      </c>
      <c r="O25" s="4" t="s">
        <v>539</v>
      </c>
      <c r="P25" s="22" t="s">
        <v>470</v>
      </c>
      <c r="Q25" s="12" t="s">
        <v>480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</row>
    <row r="26" spans="1:257" ht="16">
      <c r="A26" s="22">
        <v>20</v>
      </c>
      <c r="B26" s="4" t="s">
        <v>10</v>
      </c>
      <c r="C26" s="4">
        <v>2908</v>
      </c>
      <c r="D26" s="22" t="s">
        <v>458</v>
      </c>
      <c r="E26" s="22" t="s">
        <v>472</v>
      </c>
      <c r="F26" s="22" t="s">
        <v>541</v>
      </c>
      <c r="G26" s="4">
        <v>20</v>
      </c>
      <c r="H26" s="22">
        <v>2</v>
      </c>
      <c r="I26" s="22" t="s">
        <v>370</v>
      </c>
      <c r="J26" s="26">
        <v>38.6</v>
      </c>
      <c r="K26" s="60">
        <v>12.953367875647668</v>
      </c>
      <c r="L26" s="11">
        <f t="shared" si="0"/>
        <v>13.046632124352332</v>
      </c>
      <c r="M26" s="22">
        <v>2</v>
      </c>
      <c r="N26" s="22" t="s">
        <v>175</v>
      </c>
      <c r="O26" s="4" t="s">
        <v>539</v>
      </c>
      <c r="P26" s="22" t="s">
        <v>469</v>
      </c>
      <c r="Q26" s="12" t="s">
        <v>480</v>
      </c>
      <c r="R26" s="4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</row>
    <row r="27" spans="1:257" ht="16">
      <c r="A27" s="4">
        <v>21</v>
      </c>
      <c r="B27" s="22" t="s">
        <v>10</v>
      </c>
      <c r="C27" s="22">
        <v>2164</v>
      </c>
      <c r="D27" s="22" t="s">
        <v>472</v>
      </c>
      <c r="E27" s="22" t="s">
        <v>458</v>
      </c>
      <c r="F27" s="22">
        <v>21</v>
      </c>
      <c r="G27" s="4">
        <v>100</v>
      </c>
      <c r="H27" s="22">
        <v>2</v>
      </c>
      <c r="I27" s="22" t="s">
        <v>115</v>
      </c>
      <c r="J27" s="26">
        <v>26</v>
      </c>
      <c r="K27" s="60">
        <f t="shared" ref="K27:K72" si="2">500/J27</f>
        <v>19.23076923076923</v>
      </c>
      <c r="L27" s="11">
        <f t="shared" si="0"/>
        <v>6.7692307692307701</v>
      </c>
      <c r="M27" s="22">
        <v>2</v>
      </c>
      <c r="N27" s="67" t="s">
        <v>100</v>
      </c>
      <c r="O27" s="4" t="s">
        <v>539</v>
      </c>
      <c r="P27" s="4" t="s">
        <v>470</v>
      </c>
      <c r="Q27" s="12" t="s">
        <v>480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</row>
    <row r="28" spans="1:257" ht="16">
      <c r="A28" s="4">
        <v>22</v>
      </c>
      <c r="B28" s="4" t="s">
        <v>10</v>
      </c>
      <c r="C28" s="4">
        <v>2629</v>
      </c>
      <c r="D28" s="37" t="s">
        <v>473</v>
      </c>
      <c r="E28" s="37" t="s">
        <v>472</v>
      </c>
      <c r="F28" s="37" t="s">
        <v>495</v>
      </c>
      <c r="G28" s="37">
        <v>98</v>
      </c>
      <c r="H28" s="22">
        <v>1</v>
      </c>
      <c r="I28" s="22" t="s">
        <v>238</v>
      </c>
      <c r="J28" s="45">
        <v>77.2</v>
      </c>
      <c r="K28" s="60">
        <f t="shared" si="2"/>
        <v>6.4766839378238341</v>
      </c>
      <c r="L28" s="11">
        <f t="shared" si="0"/>
        <v>19.523316062176164</v>
      </c>
      <c r="M28" s="22">
        <v>1</v>
      </c>
      <c r="N28" s="57" t="s">
        <v>64</v>
      </c>
      <c r="O28" s="4" t="s">
        <v>539</v>
      </c>
      <c r="P28" s="44" t="s">
        <v>469</v>
      </c>
      <c r="Q28" s="47" t="s">
        <v>480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spans="1:257" ht="16">
      <c r="A29" s="22">
        <v>22</v>
      </c>
      <c r="B29" s="4" t="s">
        <v>10</v>
      </c>
      <c r="C29" s="4">
        <v>2630</v>
      </c>
      <c r="D29" s="22" t="s">
        <v>472</v>
      </c>
      <c r="E29" s="22" t="s">
        <v>458</v>
      </c>
      <c r="F29" s="22">
        <v>22</v>
      </c>
      <c r="G29" s="4">
        <v>100</v>
      </c>
      <c r="H29" s="22">
        <v>2</v>
      </c>
      <c r="I29" s="22" t="s">
        <v>380</v>
      </c>
      <c r="J29" s="26">
        <v>22.2</v>
      </c>
      <c r="K29" s="60">
        <f t="shared" si="2"/>
        <v>22.522522522522522</v>
      </c>
      <c r="L29" s="11">
        <f t="shared" si="0"/>
        <v>3.4774774774774784</v>
      </c>
      <c r="M29" s="22">
        <v>2</v>
      </c>
      <c r="N29" s="67" t="s">
        <v>319</v>
      </c>
      <c r="O29" s="4" t="s">
        <v>539</v>
      </c>
      <c r="P29" s="22" t="s">
        <v>470</v>
      </c>
      <c r="Q29" s="12" t="s">
        <v>480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</row>
    <row r="30" spans="1:257" ht="16">
      <c r="A30" s="4">
        <v>23</v>
      </c>
      <c r="B30" s="4" t="s">
        <v>10</v>
      </c>
      <c r="C30" s="4">
        <v>939</v>
      </c>
      <c r="D30" s="22" t="s">
        <v>458</v>
      </c>
      <c r="E30" s="22" t="s">
        <v>458</v>
      </c>
      <c r="F30" s="22">
        <v>23</v>
      </c>
      <c r="G30" s="4" t="s">
        <v>477</v>
      </c>
      <c r="H30" s="22">
        <v>1</v>
      </c>
      <c r="I30" s="22" t="s">
        <v>369</v>
      </c>
      <c r="J30" s="26">
        <v>69</v>
      </c>
      <c r="K30" s="60">
        <f t="shared" si="2"/>
        <v>7.2463768115942031</v>
      </c>
      <c r="L30" s="11">
        <f t="shared" si="0"/>
        <v>18.753623188405797</v>
      </c>
      <c r="M30" s="22">
        <v>1</v>
      </c>
      <c r="N30" s="57" t="s">
        <v>149</v>
      </c>
      <c r="O30" s="4" t="s">
        <v>539</v>
      </c>
      <c r="P30" s="22" t="s">
        <v>470</v>
      </c>
      <c r="Q30" s="12" t="s">
        <v>480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</row>
    <row r="31" spans="1:257" ht="16">
      <c r="A31" s="4">
        <v>24</v>
      </c>
      <c r="B31" s="4" t="s">
        <v>10</v>
      </c>
      <c r="C31" s="4">
        <v>3802</v>
      </c>
      <c r="D31" s="22" t="s">
        <v>472</v>
      </c>
      <c r="E31" s="22" t="s">
        <v>472</v>
      </c>
      <c r="F31" s="22">
        <v>24</v>
      </c>
      <c r="G31" s="4">
        <v>20</v>
      </c>
      <c r="H31" s="22">
        <v>1</v>
      </c>
      <c r="I31" s="22" t="s">
        <v>266</v>
      </c>
      <c r="J31" s="26">
        <v>48.8</v>
      </c>
      <c r="K31" s="60">
        <f t="shared" si="2"/>
        <v>10.245901639344263</v>
      </c>
      <c r="L31" s="11">
        <f t="shared" si="0"/>
        <v>15.754098360655737</v>
      </c>
      <c r="M31" s="22">
        <v>1</v>
      </c>
      <c r="N31" s="57" t="s">
        <v>528</v>
      </c>
      <c r="O31" s="4" t="s">
        <v>539</v>
      </c>
      <c r="P31" s="22" t="s">
        <v>469</v>
      </c>
      <c r="Q31" s="12" t="s">
        <v>480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</row>
    <row r="32" spans="1:257" ht="16">
      <c r="A32" s="22">
        <v>25</v>
      </c>
      <c r="B32" s="22" t="s">
        <v>10</v>
      </c>
      <c r="C32" s="22">
        <v>3031</v>
      </c>
      <c r="D32" s="22" t="s">
        <v>472</v>
      </c>
      <c r="E32" s="22" t="s">
        <v>472</v>
      </c>
      <c r="F32" s="22">
        <v>25</v>
      </c>
      <c r="G32" s="22">
        <v>20</v>
      </c>
      <c r="H32" s="22">
        <v>1</v>
      </c>
      <c r="I32" s="22" t="s">
        <v>257</v>
      </c>
      <c r="J32" s="26">
        <v>50.8</v>
      </c>
      <c r="K32" s="60">
        <f t="shared" si="2"/>
        <v>9.8425196850393704</v>
      </c>
      <c r="L32" s="11">
        <f t="shared" si="0"/>
        <v>16.15748031496063</v>
      </c>
      <c r="M32" s="22">
        <v>1</v>
      </c>
      <c r="N32" s="57" t="s">
        <v>384</v>
      </c>
      <c r="O32" s="22" t="s">
        <v>539</v>
      </c>
      <c r="P32" s="22" t="s">
        <v>470</v>
      </c>
      <c r="Q32" s="12" t="s">
        <v>480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</row>
    <row r="33" spans="1:257" ht="16">
      <c r="A33" s="4">
        <v>26</v>
      </c>
      <c r="B33" s="22" t="s">
        <v>80</v>
      </c>
      <c r="C33" s="22">
        <v>19</v>
      </c>
      <c r="D33" s="22" t="s">
        <v>472</v>
      </c>
      <c r="E33" s="22" t="s">
        <v>472</v>
      </c>
      <c r="F33" s="22">
        <v>26</v>
      </c>
      <c r="G33" s="22">
        <v>20</v>
      </c>
      <c r="H33" s="22">
        <v>1</v>
      </c>
      <c r="I33" s="22" t="s">
        <v>372</v>
      </c>
      <c r="J33" s="26">
        <v>55.6</v>
      </c>
      <c r="K33" s="60">
        <f t="shared" si="2"/>
        <v>8.9928057553956826</v>
      </c>
      <c r="L33" s="11">
        <f t="shared" si="0"/>
        <v>17.007194244604317</v>
      </c>
      <c r="M33" s="22">
        <v>1</v>
      </c>
      <c r="N33" s="57" t="s">
        <v>377</v>
      </c>
      <c r="O33" s="22" t="s">
        <v>539</v>
      </c>
      <c r="P33" s="22" t="s">
        <v>469</v>
      </c>
      <c r="Q33" s="12" t="s">
        <v>480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</row>
    <row r="34" spans="1:257" ht="16">
      <c r="A34" s="4">
        <v>27</v>
      </c>
      <c r="B34" s="4" t="s">
        <v>10</v>
      </c>
      <c r="C34" s="4">
        <v>3867</v>
      </c>
      <c r="D34" s="4" t="s">
        <v>473</v>
      </c>
      <c r="E34" s="4" t="s">
        <v>472</v>
      </c>
      <c r="F34" s="4" t="s">
        <v>495</v>
      </c>
      <c r="G34" s="4">
        <v>50</v>
      </c>
      <c r="H34" s="22">
        <v>1</v>
      </c>
      <c r="I34" s="22" t="s">
        <v>64</v>
      </c>
      <c r="J34" s="26">
        <v>83.4</v>
      </c>
      <c r="K34" s="60">
        <f t="shared" si="2"/>
        <v>5.9952038369304557</v>
      </c>
      <c r="L34" s="11">
        <f t="shared" ref="L34:L65" si="3">26-K34</f>
        <v>20.004796163069543</v>
      </c>
      <c r="M34" s="22">
        <v>1</v>
      </c>
      <c r="N34" s="57" t="s">
        <v>60</v>
      </c>
      <c r="O34" s="41" t="s">
        <v>539</v>
      </c>
      <c r="P34" s="22" t="s">
        <v>469</v>
      </c>
      <c r="Q34" s="47" t="s">
        <v>480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</row>
    <row r="35" spans="1:257" ht="16">
      <c r="A35" s="4">
        <v>27</v>
      </c>
      <c r="B35" s="4" t="s">
        <v>10</v>
      </c>
      <c r="C35" s="4">
        <v>3864</v>
      </c>
      <c r="D35" s="22" t="s">
        <v>472</v>
      </c>
      <c r="E35" s="22" t="s">
        <v>458</v>
      </c>
      <c r="F35" s="22">
        <v>27</v>
      </c>
      <c r="G35" s="4">
        <v>20</v>
      </c>
      <c r="H35" s="22">
        <v>1</v>
      </c>
      <c r="I35" s="22" t="s">
        <v>43</v>
      </c>
      <c r="J35" s="26">
        <v>43.8</v>
      </c>
      <c r="K35" s="60">
        <f t="shared" si="2"/>
        <v>11.415525114155251</v>
      </c>
      <c r="L35" s="11">
        <f t="shared" si="3"/>
        <v>14.584474885844749</v>
      </c>
      <c r="M35" s="22">
        <v>1</v>
      </c>
      <c r="N35" s="57" t="s">
        <v>130</v>
      </c>
      <c r="O35" s="4" t="s">
        <v>539</v>
      </c>
      <c r="P35" s="22" t="s">
        <v>470</v>
      </c>
      <c r="Q35" s="12" t="s">
        <v>480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</row>
    <row r="36" spans="1:257" ht="16">
      <c r="A36" s="22">
        <v>28</v>
      </c>
      <c r="B36" s="4" t="s">
        <v>20</v>
      </c>
      <c r="C36" s="4">
        <v>1123</v>
      </c>
      <c r="D36" s="22" t="s">
        <v>458</v>
      </c>
      <c r="E36" s="22" t="s">
        <v>473</v>
      </c>
      <c r="F36" s="22">
        <v>28</v>
      </c>
      <c r="G36" s="4">
        <v>150</v>
      </c>
      <c r="H36" s="22">
        <v>2</v>
      </c>
      <c r="I36" s="22" t="s">
        <v>79</v>
      </c>
      <c r="J36" s="26">
        <v>40.6</v>
      </c>
      <c r="K36" s="60">
        <f t="shared" si="2"/>
        <v>12.315270935960591</v>
      </c>
      <c r="L36" s="11">
        <f t="shared" si="3"/>
        <v>13.684729064039409</v>
      </c>
      <c r="M36" s="22">
        <v>1</v>
      </c>
      <c r="N36" s="57" t="s">
        <v>266</v>
      </c>
      <c r="O36" s="4" t="s">
        <v>539</v>
      </c>
      <c r="P36" s="22" t="s">
        <v>470</v>
      </c>
      <c r="Q36" s="12" t="s">
        <v>480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</row>
    <row r="37" spans="1:257" ht="16">
      <c r="A37" s="4">
        <v>29</v>
      </c>
      <c r="B37" s="4" t="s">
        <v>10</v>
      </c>
      <c r="C37" s="4">
        <v>3263</v>
      </c>
      <c r="D37" s="22" t="s">
        <v>473</v>
      </c>
      <c r="E37" s="22" t="s">
        <v>473</v>
      </c>
      <c r="F37" s="22">
        <v>29</v>
      </c>
      <c r="G37" s="4">
        <v>100</v>
      </c>
      <c r="H37" s="22">
        <v>1</v>
      </c>
      <c r="I37" s="22" t="s">
        <v>321</v>
      </c>
      <c r="J37" s="26">
        <v>44.8</v>
      </c>
      <c r="K37" s="60">
        <f t="shared" si="2"/>
        <v>11.160714285714286</v>
      </c>
      <c r="L37" s="11">
        <f t="shared" si="3"/>
        <v>14.839285714285714</v>
      </c>
      <c r="M37" s="22">
        <v>1</v>
      </c>
      <c r="N37" s="57" t="s">
        <v>386</v>
      </c>
      <c r="O37" s="4" t="s">
        <v>539</v>
      </c>
      <c r="P37" s="22" t="s">
        <v>470</v>
      </c>
      <c r="Q37" s="12" t="s">
        <v>480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spans="1:257" ht="16">
      <c r="A38" s="4">
        <v>30</v>
      </c>
      <c r="B38" s="4" t="s">
        <v>10</v>
      </c>
      <c r="C38" s="4">
        <v>3057</v>
      </c>
      <c r="D38" s="4" t="s">
        <v>473</v>
      </c>
      <c r="E38" s="4" t="s">
        <v>0</v>
      </c>
      <c r="F38" s="4" t="s">
        <v>489</v>
      </c>
      <c r="G38" s="4">
        <v>98</v>
      </c>
      <c r="H38" s="22">
        <v>1</v>
      </c>
      <c r="I38" s="22" t="s">
        <v>371</v>
      </c>
      <c r="J38" s="26">
        <v>60.6</v>
      </c>
      <c r="K38" s="60">
        <f t="shared" si="2"/>
        <v>8.2508250825082499</v>
      </c>
      <c r="L38" s="11">
        <f t="shared" si="3"/>
        <v>17.74917491749175</v>
      </c>
      <c r="M38" s="22">
        <v>1</v>
      </c>
      <c r="N38" s="37" t="s">
        <v>369</v>
      </c>
      <c r="O38" s="4" t="s">
        <v>539</v>
      </c>
      <c r="P38" s="22" t="s">
        <v>469</v>
      </c>
      <c r="Q38" s="47" t="s">
        <v>480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</row>
    <row r="39" spans="1:257" ht="16">
      <c r="A39" s="4">
        <v>30</v>
      </c>
      <c r="B39" s="4" t="s">
        <v>10</v>
      </c>
      <c r="C39" s="4">
        <v>3058</v>
      </c>
      <c r="D39" s="22" t="s">
        <v>473</v>
      </c>
      <c r="E39" s="22" t="s">
        <v>473</v>
      </c>
      <c r="F39" s="22">
        <v>30</v>
      </c>
      <c r="G39" s="4">
        <v>600</v>
      </c>
      <c r="H39" s="22">
        <v>1</v>
      </c>
      <c r="I39" s="22" t="s">
        <v>230</v>
      </c>
      <c r="J39" s="26">
        <v>42.8</v>
      </c>
      <c r="K39" s="60">
        <f t="shared" si="2"/>
        <v>11.682242990654206</v>
      </c>
      <c r="L39" s="11">
        <f t="shared" si="3"/>
        <v>14.317757009345794</v>
      </c>
      <c r="M39" s="22">
        <v>1</v>
      </c>
      <c r="N39" s="57" t="s">
        <v>41</v>
      </c>
      <c r="O39" s="4" t="s">
        <v>539</v>
      </c>
      <c r="P39" s="22" t="s">
        <v>470</v>
      </c>
      <c r="Q39" s="12" t="s">
        <v>480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</row>
    <row r="40" spans="1:257" ht="16">
      <c r="A40" s="4">
        <v>31</v>
      </c>
      <c r="B40" s="4" t="s">
        <v>10</v>
      </c>
      <c r="C40" s="4">
        <v>3648</v>
      </c>
      <c r="D40" s="4" t="s">
        <v>473</v>
      </c>
      <c r="E40" s="4" t="s">
        <v>0</v>
      </c>
      <c r="F40" s="4" t="s">
        <v>496</v>
      </c>
      <c r="G40" s="4" t="s">
        <v>477</v>
      </c>
      <c r="H40" s="22">
        <v>1</v>
      </c>
      <c r="I40" s="22" t="s">
        <v>219</v>
      </c>
      <c r="J40" s="26">
        <v>82.4</v>
      </c>
      <c r="K40" s="60">
        <f t="shared" si="2"/>
        <v>6.0679611650485432</v>
      </c>
      <c r="L40" s="11">
        <f t="shared" si="3"/>
        <v>19.932038834951456</v>
      </c>
      <c r="M40" s="22">
        <v>1</v>
      </c>
      <c r="N40" s="57" t="s">
        <v>309</v>
      </c>
      <c r="O40" s="4" t="s">
        <v>539</v>
      </c>
      <c r="P40" s="22" t="s">
        <v>469</v>
      </c>
      <c r="Q40" s="47" t="s">
        <v>480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</row>
    <row r="41" spans="1:257" ht="16">
      <c r="A41" s="22">
        <v>31</v>
      </c>
      <c r="B41" s="4" t="s">
        <v>54</v>
      </c>
      <c r="C41" s="4">
        <v>961</v>
      </c>
      <c r="D41" s="22" t="s">
        <v>472</v>
      </c>
      <c r="E41" s="22" t="s">
        <v>0</v>
      </c>
      <c r="F41" s="22">
        <v>31</v>
      </c>
      <c r="G41" s="22">
        <v>25</v>
      </c>
      <c r="H41" s="22">
        <v>2</v>
      </c>
      <c r="I41" s="11" t="s">
        <v>55</v>
      </c>
      <c r="J41" s="26">
        <v>40.6</v>
      </c>
      <c r="K41" s="60">
        <f t="shared" si="2"/>
        <v>12.315270935960591</v>
      </c>
      <c r="L41" s="11">
        <f t="shared" si="3"/>
        <v>13.684729064039409</v>
      </c>
      <c r="M41" s="22">
        <v>1</v>
      </c>
      <c r="N41" s="57" t="s">
        <v>26</v>
      </c>
      <c r="O41" s="4" t="s">
        <v>539</v>
      </c>
      <c r="P41" s="4" t="s">
        <v>469</v>
      </c>
      <c r="Q41" s="12" t="s">
        <v>480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spans="1:257" ht="16">
      <c r="A42" s="4">
        <v>33</v>
      </c>
      <c r="B42" s="22" t="s">
        <v>10</v>
      </c>
      <c r="C42" s="22">
        <v>2120</v>
      </c>
      <c r="D42" s="22" t="s">
        <v>458</v>
      </c>
      <c r="E42" s="22" t="s">
        <v>458</v>
      </c>
      <c r="F42" s="22">
        <v>33</v>
      </c>
      <c r="G42" s="4">
        <v>100</v>
      </c>
      <c r="H42" s="22">
        <v>2</v>
      </c>
      <c r="I42" s="22" t="s">
        <v>365</v>
      </c>
      <c r="J42" s="26">
        <v>36.6</v>
      </c>
      <c r="K42" s="60">
        <f t="shared" si="2"/>
        <v>13.66120218579235</v>
      </c>
      <c r="L42" s="11">
        <f t="shared" si="3"/>
        <v>12.33879781420765</v>
      </c>
      <c r="M42" s="22">
        <v>2</v>
      </c>
      <c r="N42" s="67" t="s">
        <v>110</v>
      </c>
      <c r="O42" s="4" t="s">
        <v>539</v>
      </c>
      <c r="P42" s="4" t="s">
        <v>470</v>
      </c>
      <c r="Q42" s="12" t="s">
        <v>480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spans="1:257" ht="16">
      <c r="A43" s="4">
        <v>33</v>
      </c>
      <c r="B43" s="22" t="s">
        <v>10</v>
      </c>
      <c r="C43" s="22">
        <v>2121</v>
      </c>
      <c r="D43" s="4" t="s">
        <v>473</v>
      </c>
      <c r="E43" s="4" t="s">
        <v>0</v>
      </c>
      <c r="F43" s="4" t="s">
        <v>489</v>
      </c>
      <c r="G43" s="4">
        <v>85</v>
      </c>
      <c r="H43" s="22">
        <v>2</v>
      </c>
      <c r="I43" s="22" t="s">
        <v>149</v>
      </c>
      <c r="J43" s="26">
        <v>28.6</v>
      </c>
      <c r="K43" s="60">
        <f t="shared" si="2"/>
        <v>17.482517482517483</v>
      </c>
      <c r="L43" s="11">
        <f t="shared" si="3"/>
        <v>8.5174825174825166</v>
      </c>
      <c r="M43" s="22">
        <v>2</v>
      </c>
      <c r="N43" s="67" t="s">
        <v>323</v>
      </c>
      <c r="O43" s="4" t="s">
        <v>539</v>
      </c>
      <c r="P43" s="22" t="s">
        <v>469</v>
      </c>
      <c r="Q43" s="47" t="s">
        <v>480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spans="1:257" ht="16">
      <c r="A44" s="22">
        <v>34</v>
      </c>
      <c r="B44" s="22" t="s">
        <v>10</v>
      </c>
      <c r="C44" s="22">
        <v>3796</v>
      </c>
      <c r="D44" s="22" t="s">
        <v>473</v>
      </c>
      <c r="E44" s="22" t="s">
        <v>0</v>
      </c>
      <c r="F44" s="22">
        <v>34</v>
      </c>
      <c r="G44" s="4">
        <v>250</v>
      </c>
      <c r="H44" s="22">
        <v>2</v>
      </c>
      <c r="I44" s="22" t="s">
        <v>368</v>
      </c>
      <c r="J44" s="26">
        <v>30</v>
      </c>
      <c r="K44" s="60">
        <f t="shared" si="2"/>
        <v>16.666666666666668</v>
      </c>
      <c r="L44" s="11">
        <f t="shared" si="3"/>
        <v>9.3333333333333321</v>
      </c>
      <c r="M44" s="22">
        <v>2</v>
      </c>
      <c r="N44" s="67" t="s">
        <v>219</v>
      </c>
      <c r="O44" s="4" t="s">
        <v>539</v>
      </c>
      <c r="P44" s="22" t="s">
        <v>469</v>
      </c>
      <c r="Q44" s="12" t="s">
        <v>480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spans="1:257" ht="16">
      <c r="A45" s="22">
        <v>37</v>
      </c>
      <c r="B45" s="4" t="s">
        <v>20</v>
      </c>
      <c r="C45" s="4">
        <v>1446</v>
      </c>
      <c r="D45" s="22" t="s">
        <v>473</v>
      </c>
      <c r="E45" s="22" t="s">
        <v>458</v>
      </c>
      <c r="F45" s="22">
        <v>37</v>
      </c>
      <c r="G45" s="4">
        <v>25</v>
      </c>
      <c r="H45" s="22">
        <v>1</v>
      </c>
      <c r="I45" s="11" t="s">
        <v>18</v>
      </c>
      <c r="J45" s="26">
        <v>92</v>
      </c>
      <c r="K45" s="60">
        <f t="shared" si="2"/>
        <v>5.4347826086956523</v>
      </c>
      <c r="L45" s="11">
        <f t="shared" si="3"/>
        <v>20.565217391304348</v>
      </c>
      <c r="M45" s="22">
        <v>1</v>
      </c>
      <c r="N45" s="57" t="s">
        <v>275</v>
      </c>
      <c r="O45" s="4" t="s">
        <v>539</v>
      </c>
      <c r="P45" s="4" t="s">
        <v>470</v>
      </c>
      <c r="Q45" s="12" t="s">
        <v>480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</row>
    <row r="46" spans="1:257" ht="16">
      <c r="A46" s="4">
        <v>38</v>
      </c>
      <c r="B46" s="4" t="s">
        <v>10</v>
      </c>
      <c r="C46" s="4">
        <v>2915</v>
      </c>
      <c r="D46" s="22" t="s">
        <v>473</v>
      </c>
      <c r="E46" s="22" t="s">
        <v>458</v>
      </c>
      <c r="F46" s="22">
        <v>38</v>
      </c>
      <c r="G46" s="4">
        <v>110</v>
      </c>
      <c r="H46" s="22">
        <v>1</v>
      </c>
      <c r="I46" s="22" t="s">
        <v>46</v>
      </c>
      <c r="J46" s="26">
        <v>110</v>
      </c>
      <c r="K46" s="60">
        <f t="shared" si="2"/>
        <v>4.5454545454545459</v>
      </c>
      <c r="L46" s="11">
        <f t="shared" si="3"/>
        <v>21.454545454545453</v>
      </c>
      <c r="M46" s="22">
        <v>1</v>
      </c>
      <c r="N46" s="67" t="s">
        <v>46</v>
      </c>
      <c r="O46" s="4"/>
      <c r="P46" s="22" t="s">
        <v>470</v>
      </c>
      <c r="Q46" s="12" t="s">
        <v>480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</row>
    <row r="47" spans="1:257" ht="16">
      <c r="A47" s="4">
        <v>38</v>
      </c>
      <c r="B47" s="22" t="s">
        <v>10</v>
      </c>
      <c r="C47" s="22">
        <v>2916</v>
      </c>
      <c r="D47" s="4" t="s">
        <v>473</v>
      </c>
      <c r="E47" s="4" t="s">
        <v>472</v>
      </c>
      <c r="F47" s="4" t="s">
        <v>495</v>
      </c>
      <c r="G47" s="4">
        <v>99</v>
      </c>
      <c r="H47" s="22">
        <v>1</v>
      </c>
      <c r="I47" s="22" t="s">
        <v>273</v>
      </c>
      <c r="J47" s="26">
        <v>80.2</v>
      </c>
      <c r="K47" s="60">
        <f t="shared" si="2"/>
        <v>6.2344139650872812</v>
      </c>
      <c r="L47" s="11">
        <f t="shared" si="3"/>
        <v>19.765586034912719</v>
      </c>
      <c r="M47" s="22">
        <v>1</v>
      </c>
      <c r="N47" s="58" t="s">
        <v>520</v>
      </c>
      <c r="O47" s="4" t="s">
        <v>539</v>
      </c>
      <c r="P47" s="22" t="s">
        <v>469</v>
      </c>
      <c r="Q47" s="47" t="s">
        <v>480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</row>
    <row r="48" spans="1:257" ht="16">
      <c r="A48" s="4">
        <v>39</v>
      </c>
      <c r="B48" s="22" t="s">
        <v>10</v>
      </c>
      <c r="C48" s="22">
        <v>4029</v>
      </c>
      <c r="D48" s="4" t="s">
        <v>458</v>
      </c>
      <c r="E48" s="4" t="s">
        <v>472</v>
      </c>
      <c r="F48" s="4" t="s">
        <v>495</v>
      </c>
      <c r="G48" s="4">
        <v>20</v>
      </c>
      <c r="H48" s="22">
        <v>1</v>
      </c>
      <c r="I48" s="22" t="s">
        <v>387</v>
      </c>
      <c r="J48" s="26">
        <v>45.2</v>
      </c>
      <c r="K48" s="60">
        <f t="shared" si="2"/>
        <v>11.061946902654867</v>
      </c>
      <c r="L48" s="11">
        <f t="shared" si="3"/>
        <v>14.938053097345133</v>
      </c>
      <c r="M48" s="22">
        <v>1</v>
      </c>
      <c r="N48" s="57" t="s">
        <v>370</v>
      </c>
      <c r="O48" s="41" t="s">
        <v>539</v>
      </c>
      <c r="P48" s="22" t="s">
        <v>469</v>
      </c>
      <c r="Q48" s="47" t="s">
        <v>480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1:257" ht="16">
      <c r="A49" s="4">
        <v>39</v>
      </c>
      <c r="B49" s="4" t="s">
        <v>10</v>
      </c>
      <c r="C49" s="4">
        <v>4028</v>
      </c>
      <c r="D49" s="22" t="s">
        <v>472</v>
      </c>
      <c r="E49" s="22" t="s">
        <v>0</v>
      </c>
      <c r="F49" s="22">
        <v>39</v>
      </c>
      <c r="G49" s="4">
        <v>25</v>
      </c>
      <c r="H49" s="22">
        <v>2</v>
      </c>
      <c r="I49" s="22" t="s">
        <v>323</v>
      </c>
      <c r="J49" s="26">
        <v>28</v>
      </c>
      <c r="K49" s="60">
        <f t="shared" si="2"/>
        <v>17.857142857142858</v>
      </c>
      <c r="L49" s="11">
        <f t="shared" si="3"/>
        <v>8.1428571428571423</v>
      </c>
      <c r="M49" s="22">
        <v>2</v>
      </c>
      <c r="N49" s="67" t="s">
        <v>120</v>
      </c>
      <c r="O49" s="4" t="s">
        <v>539</v>
      </c>
      <c r="P49" s="22" t="s">
        <v>469</v>
      </c>
      <c r="Q49" s="12" t="s">
        <v>480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</row>
    <row r="50" spans="1:257" ht="16">
      <c r="A50" s="22">
        <v>40</v>
      </c>
      <c r="B50" s="4" t="s">
        <v>20</v>
      </c>
      <c r="C50" s="4">
        <v>2266</v>
      </c>
      <c r="D50" s="22" t="s">
        <v>473</v>
      </c>
      <c r="E50" s="22" t="s">
        <v>0</v>
      </c>
      <c r="F50" s="22">
        <v>40</v>
      </c>
      <c r="G50" s="4">
        <v>100</v>
      </c>
      <c r="H50" s="22">
        <v>2</v>
      </c>
      <c r="I50" s="22" t="s">
        <v>127</v>
      </c>
      <c r="J50" s="26">
        <v>35</v>
      </c>
      <c r="K50" s="60">
        <f t="shared" si="2"/>
        <v>14.285714285714286</v>
      </c>
      <c r="L50" s="11">
        <f t="shared" si="3"/>
        <v>11.714285714285714</v>
      </c>
      <c r="M50" s="22">
        <v>2</v>
      </c>
      <c r="N50" s="22" t="s">
        <v>79</v>
      </c>
      <c r="O50" s="4" t="s">
        <v>539</v>
      </c>
      <c r="P50" s="4" t="s">
        <v>469</v>
      </c>
      <c r="Q50" s="12" t="s">
        <v>480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</row>
    <row r="51" spans="1:257" ht="16">
      <c r="A51" s="22">
        <v>41</v>
      </c>
      <c r="B51" s="22" t="s">
        <v>20</v>
      </c>
      <c r="C51" s="22">
        <v>1477</v>
      </c>
      <c r="D51" s="22" t="s">
        <v>473</v>
      </c>
      <c r="E51" s="22" t="s">
        <v>458</v>
      </c>
      <c r="F51" s="22">
        <v>41</v>
      </c>
      <c r="G51" s="22">
        <v>75</v>
      </c>
      <c r="H51" s="22">
        <v>1</v>
      </c>
      <c r="I51" s="22" t="s">
        <v>366</v>
      </c>
      <c r="J51" s="26">
        <v>85.2</v>
      </c>
      <c r="K51" s="60">
        <f t="shared" si="2"/>
        <v>5.868544600938967</v>
      </c>
      <c r="L51" s="11">
        <f t="shared" si="3"/>
        <v>20.131455399061032</v>
      </c>
      <c r="M51" s="22">
        <v>1</v>
      </c>
      <c r="N51" s="57" t="s">
        <v>50</v>
      </c>
      <c r="O51" s="22" t="s">
        <v>539</v>
      </c>
      <c r="P51" s="22" t="s">
        <v>470</v>
      </c>
      <c r="Q51" s="12" t="s">
        <v>480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</row>
    <row r="52" spans="1:257" ht="16">
      <c r="A52" s="4">
        <v>42</v>
      </c>
      <c r="B52" s="4" t="s">
        <v>133</v>
      </c>
      <c r="C52" s="4">
        <v>77</v>
      </c>
      <c r="D52" s="4" t="s">
        <v>472</v>
      </c>
      <c r="E52" s="4" t="s">
        <v>472</v>
      </c>
      <c r="F52" s="22">
        <v>42</v>
      </c>
      <c r="G52" s="4">
        <v>20</v>
      </c>
      <c r="H52" s="22">
        <v>2</v>
      </c>
      <c r="I52" s="22" t="s">
        <v>297</v>
      </c>
      <c r="J52" s="26">
        <v>41.2</v>
      </c>
      <c r="K52" s="60">
        <f t="shared" si="2"/>
        <v>12.135922330097086</v>
      </c>
      <c r="L52" s="11">
        <f t="shared" si="3"/>
        <v>13.864077669902914</v>
      </c>
      <c r="M52" s="22">
        <v>1</v>
      </c>
      <c r="N52" s="57" t="s">
        <v>257</v>
      </c>
      <c r="O52" s="4" t="s">
        <v>539</v>
      </c>
      <c r="P52" s="22" t="s">
        <v>469</v>
      </c>
      <c r="Q52" s="12" t="s">
        <v>480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53" spans="1:257" ht="16">
      <c r="A53" s="4">
        <v>43</v>
      </c>
      <c r="B53" s="22" t="s">
        <v>10</v>
      </c>
      <c r="C53" s="22">
        <v>865</v>
      </c>
      <c r="D53" s="4" t="s">
        <v>473</v>
      </c>
      <c r="E53" s="4" t="s">
        <v>458</v>
      </c>
      <c r="F53" s="4" t="s">
        <v>489</v>
      </c>
      <c r="G53" s="4">
        <v>98</v>
      </c>
      <c r="H53" s="22">
        <v>1</v>
      </c>
      <c r="I53" s="22" t="s">
        <v>279</v>
      </c>
      <c r="J53" s="26">
        <v>71.2</v>
      </c>
      <c r="K53" s="60">
        <f t="shared" si="2"/>
        <v>7.0224719101123592</v>
      </c>
      <c r="L53" s="11">
        <f t="shared" si="3"/>
        <v>18.977528089887642</v>
      </c>
      <c r="M53" s="22">
        <v>1</v>
      </c>
      <c r="N53" s="57" t="s">
        <v>273</v>
      </c>
      <c r="O53" s="4" t="s">
        <v>539</v>
      </c>
      <c r="P53" s="22" t="s">
        <v>470</v>
      </c>
      <c r="Q53" s="47" t="s">
        <v>480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</row>
    <row r="54" spans="1:257" ht="16">
      <c r="A54" s="22">
        <v>43</v>
      </c>
      <c r="B54" s="4" t="s">
        <v>10</v>
      </c>
      <c r="C54" s="4">
        <v>864</v>
      </c>
      <c r="D54" s="4" t="s">
        <v>0</v>
      </c>
      <c r="E54" s="4" t="s">
        <v>472</v>
      </c>
      <c r="F54" s="22">
        <v>43</v>
      </c>
      <c r="G54" s="22">
        <v>19</v>
      </c>
      <c r="H54" s="22">
        <v>1</v>
      </c>
      <c r="I54" s="22" t="s">
        <v>175</v>
      </c>
      <c r="J54" s="26">
        <v>51</v>
      </c>
      <c r="K54" s="60">
        <f t="shared" si="2"/>
        <v>9.8039215686274517</v>
      </c>
      <c r="L54" s="11">
        <f t="shared" si="3"/>
        <v>16.196078431372548</v>
      </c>
      <c r="M54" s="22">
        <v>1</v>
      </c>
      <c r="N54" s="57" t="s">
        <v>383</v>
      </c>
      <c r="O54" s="22" t="s">
        <v>539</v>
      </c>
      <c r="P54" s="22" t="s">
        <v>470</v>
      </c>
      <c r="Q54" s="12" t="s">
        <v>480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</row>
    <row r="55" spans="1:257" ht="16">
      <c r="A55" s="4">
        <v>44</v>
      </c>
      <c r="B55" s="4" t="s">
        <v>20</v>
      </c>
      <c r="C55" s="4">
        <v>1484</v>
      </c>
      <c r="D55" s="22" t="s">
        <v>473</v>
      </c>
      <c r="E55" s="22" t="s">
        <v>473</v>
      </c>
      <c r="F55" s="22">
        <v>44</v>
      </c>
      <c r="G55" s="4">
        <v>80</v>
      </c>
      <c r="H55" s="22">
        <v>1</v>
      </c>
      <c r="I55" s="22" t="s">
        <v>297</v>
      </c>
      <c r="J55" s="26">
        <v>112</v>
      </c>
      <c r="K55" s="60">
        <f t="shared" si="2"/>
        <v>4.4642857142857144</v>
      </c>
      <c r="L55" s="11">
        <f t="shared" si="3"/>
        <v>21.535714285714285</v>
      </c>
      <c r="M55" s="22">
        <v>1</v>
      </c>
      <c r="N55" s="67" t="s">
        <v>297</v>
      </c>
      <c r="O55" s="4"/>
      <c r="P55" s="22" t="s">
        <v>470</v>
      </c>
      <c r="Q55" s="12" t="s">
        <v>480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</row>
    <row r="56" spans="1:257" ht="16">
      <c r="A56" s="4">
        <v>44</v>
      </c>
      <c r="B56" s="22" t="s">
        <v>10</v>
      </c>
      <c r="C56" s="22">
        <v>3342</v>
      </c>
      <c r="D56" s="4" t="s">
        <v>458</v>
      </c>
      <c r="E56" s="4" t="s">
        <v>472</v>
      </c>
      <c r="F56" s="4" t="s">
        <v>495</v>
      </c>
      <c r="G56" s="4">
        <v>20</v>
      </c>
      <c r="H56" s="22">
        <v>2</v>
      </c>
      <c r="I56" s="22" t="s">
        <v>376</v>
      </c>
      <c r="J56" s="26">
        <v>37.4</v>
      </c>
      <c r="K56" s="60">
        <f t="shared" si="2"/>
        <v>13.368983957219251</v>
      </c>
      <c r="L56" s="11">
        <f t="shared" si="3"/>
        <v>12.631016042780749</v>
      </c>
      <c r="M56" s="22">
        <v>2</v>
      </c>
      <c r="N56" s="67" t="s">
        <v>314</v>
      </c>
      <c r="O56" s="4" t="s">
        <v>539</v>
      </c>
      <c r="P56" s="22" t="s">
        <v>469</v>
      </c>
      <c r="Q56" s="47" t="s">
        <v>480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spans="1:257" ht="16">
      <c r="A57" s="4">
        <v>45</v>
      </c>
      <c r="B57" s="4" t="s">
        <v>54</v>
      </c>
      <c r="C57" s="4">
        <v>609</v>
      </c>
      <c r="D57" s="22" t="s">
        <v>458</v>
      </c>
      <c r="E57" s="22" t="s">
        <v>472</v>
      </c>
      <c r="F57" s="22">
        <v>45</v>
      </c>
      <c r="G57" s="4">
        <v>150</v>
      </c>
      <c r="H57" s="22">
        <v>2</v>
      </c>
      <c r="I57" s="22" t="s">
        <v>377</v>
      </c>
      <c r="J57" s="26">
        <v>23.6</v>
      </c>
      <c r="K57" s="60">
        <f t="shared" si="2"/>
        <v>21.1864406779661</v>
      </c>
      <c r="L57" s="11">
        <f t="shared" si="3"/>
        <v>4.8135593220338997</v>
      </c>
      <c r="M57" s="22">
        <v>2</v>
      </c>
      <c r="N57" s="67" t="s">
        <v>370</v>
      </c>
      <c r="O57" s="4" t="s">
        <v>539</v>
      </c>
      <c r="P57" s="4" t="s">
        <v>470</v>
      </c>
      <c r="Q57" s="12" t="s">
        <v>480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</row>
    <row r="58" spans="1:257" ht="16">
      <c r="A58" s="4">
        <v>47</v>
      </c>
      <c r="B58" s="4" t="s">
        <v>54</v>
      </c>
      <c r="C58" s="4">
        <v>636</v>
      </c>
      <c r="D58" s="22" t="s">
        <v>473</v>
      </c>
      <c r="E58" s="22" t="s">
        <v>458</v>
      </c>
      <c r="F58" s="22">
        <v>47</v>
      </c>
      <c r="G58" s="4">
        <v>120</v>
      </c>
      <c r="H58" s="22">
        <v>1</v>
      </c>
      <c r="I58" s="22" t="s">
        <v>346</v>
      </c>
      <c r="J58" s="26">
        <v>99</v>
      </c>
      <c r="K58" s="60">
        <f t="shared" si="2"/>
        <v>5.0505050505050502</v>
      </c>
      <c r="L58" s="11">
        <f t="shared" si="3"/>
        <v>20.949494949494948</v>
      </c>
      <c r="M58" s="22">
        <v>1</v>
      </c>
      <c r="N58" s="67" t="s">
        <v>516</v>
      </c>
      <c r="O58" s="4" t="s">
        <v>539</v>
      </c>
      <c r="P58" s="4" t="s">
        <v>470</v>
      </c>
      <c r="Q58" s="12" t="s">
        <v>480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</row>
    <row r="59" spans="1:257" ht="16">
      <c r="A59" s="4">
        <v>48</v>
      </c>
      <c r="B59" s="4" t="s">
        <v>248</v>
      </c>
      <c r="C59" s="4">
        <v>24111</v>
      </c>
      <c r="D59" s="22" t="s">
        <v>458</v>
      </c>
      <c r="E59" s="22" t="s">
        <v>458</v>
      </c>
      <c r="F59" s="22">
        <v>48</v>
      </c>
      <c r="G59" s="4">
        <v>200</v>
      </c>
      <c r="H59" s="22">
        <v>1</v>
      </c>
      <c r="I59" s="22" t="s">
        <v>41</v>
      </c>
      <c r="J59" s="26">
        <v>54.6</v>
      </c>
      <c r="K59" s="60">
        <f t="shared" si="2"/>
        <v>9.1575091575091569</v>
      </c>
      <c r="L59" s="11">
        <f t="shared" si="3"/>
        <v>16.842490842490843</v>
      </c>
      <c r="M59" s="22">
        <v>1</v>
      </c>
      <c r="N59" s="57" t="s">
        <v>379</v>
      </c>
      <c r="O59" s="4" t="s">
        <v>539</v>
      </c>
      <c r="P59" s="22" t="s">
        <v>470</v>
      </c>
      <c r="Q59" s="12" t="s">
        <v>480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</row>
    <row r="60" spans="1:257" ht="16">
      <c r="A60" s="22">
        <v>49</v>
      </c>
      <c r="B60" s="4" t="s">
        <v>10</v>
      </c>
      <c r="C60" s="4">
        <v>3076</v>
      </c>
      <c r="D60" s="22" t="s">
        <v>473</v>
      </c>
      <c r="E60" s="22" t="s">
        <v>458</v>
      </c>
      <c r="F60" s="22">
        <v>49</v>
      </c>
      <c r="G60" s="4">
        <v>80</v>
      </c>
      <c r="H60" s="22">
        <v>1</v>
      </c>
      <c r="I60" s="22" t="s">
        <v>120</v>
      </c>
      <c r="J60" s="26">
        <v>79</v>
      </c>
      <c r="K60" s="60">
        <f t="shared" si="2"/>
        <v>6.3291139240506329</v>
      </c>
      <c r="L60" s="11">
        <f t="shared" si="3"/>
        <v>19.670886075949369</v>
      </c>
      <c r="M60" s="22">
        <v>1</v>
      </c>
      <c r="N60" s="57" t="s">
        <v>366</v>
      </c>
      <c r="O60" s="4" t="s">
        <v>539</v>
      </c>
      <c r="P60" s="22" t="s">
        <v>470</v>
      </c>
      <c r="Q60" s="12" t="s">
        <v>480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</row>
    <row r="61" spans="1:257" ht="16">
      <c r="A61" s="4">
        <v>50</v>
      </c>
      <c r="B61" s="4" t="s">
        <v>10</v>
      </c>
      <c r="C61" s="4">
        <v>3078</v>
      </c>
      <c r="D61" s="22" t="s">
        <v>458</v>
      </c>
      <c r="E61" s="22" t="s">
        <v>458</v>
      </c>
      <c r="F61" s="22">
        <v>50</v>
      </c>
      <c r="G61" s="4">
        <v>50</v>
      </c>
      <c r="H61" s="22">
        <v>1</v>
      </c>
      <c r="I61" s="22" t="s">
        <v>378</v>
      </c>
      <c r="J61" s="26">
        <v>67.599999999999994</v>
      </c>
      <c r="K61" s="60">
        <f t="shared" si="2"/>
        <v>7.3964497041420127</v>
      </c>
      <c r="L61" s="11">
        <f t="shared" si="3"/>
        <v>18.603550295857985</v>
      </c>
      <c r="M61" s="22">
        <v>1</v>
      </c>
      <c r="N61" s="58" t="s">
        <v>523</v>
      </c>
      <c r="O61" s="4" t="s">
        <v>539</v>
      </c>
      <c r="P61" s="22" t="s">
        <v>470</v>
      </c>
      <c r="Q61" s="12" t="s">
        <v>480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</row>
    <row r="62" spans="1:257" ht="16">
      <c r="A62" s="4">
        <v>51</v>
      </c>
      <c r="B62" s="4" t="s">
        <v>80</v>
      </c>
      <c r="C62" s="4">
        <v>6</v>
      </c>
      <c r="D62" s="4" t="s">
        <v>473</v>
      </c>
      <c r="E62" s="4" t="s">
        <v>0</v>
      </c>
      <c r="F62" s="4" t="s">
        <v>489</v>
      </c>
      <c r="G62" s="4">
        <v>98</v>
      </c>
      <c r="H62" s="22">
        <v>1</v>
      </c>
      <c r="I62" s="22" t="s">
        <v>328</v>
      </c>
      <c r="J62" s="26">
        <v>112</v>
      </c>
      <c r="K62" s="60">
        <f t="shared" si="2"/>
        <v>4.4642857142857144</v>
      </c>
      <c r="L62" s="11">
        <f t="shared" si="3"/>
        <v>21.535714285714285</v>
      </c>
      <c r="M62" s="22">
        <v>1</v>
      </c>
      <c r="N62" s="22" t="s">
        <v>328</v>
      </c>
      <c r="O62" s="4"/>
      <c r="P62" s="22" t="s">
        <v>469</v>
      </c>
      <c r="Q62" s="47" t="s">
        <v>480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</row>
    <row r="63" spans="1:257" ht="16">
      <c r="A63" s="4">
        <v>51</v>
      </c>
      <c r="B63" s="4" t="s">
        <v>80</v>
      </c>
      <c r="C63" s="4">
        <v>5</v>
      </c>
      <c r="D63" s="22" t="s">
        <v>472</v>
      </c>
      <c r="E63" s="22" t="s">
        <v>0</v>
      </c>
      <c r="F63" s="22">
        <v>51</v>
      </c>
      <c r="G63" s="4">
        <v>20</v>
      </c>
      <c r="H63" s="22">
        <v>2</v>
      </c>
      <c r="I63" s="22" t="s">
        <v>110</v>
      </c>
      <c r="J63" s="26">
        <v>42</v>
      </c>
      <c r="K63" s="60">
        <f t="shared" si="2"/>
        <v>11.904761904761905</v>
      </c>
      <c r="L63" s="11">
        <f t="shared" si="3"/>
        <v>14.095238095238095</v>
      </c>
      <c r="M63" s="22">
        <v>1</v>
      </c>
      <c r="N63" s="57" t="s">
        <v>98</v>
      </c>
      <c r="O63" s="4" t="s">
        <v>539</v>
      </c>
      <c r="P63" s="22" t="s">
        <v>469</v>
      </c>
      <c r="Q63" s="12" t="s">
        <v>480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</row>
    <row r="64" spans="1:257" ht="16">
      <c r="A64" s="4">
        <v>52</v>
      </c>
      <c r="B64" s="4" t="s">
        <v>80</v>
      </c>
      <c r="C64" s="4">
        <v>14</v>
      </c>
      <c r="D64" s="4" t="s">
        <v>473</v>
      </c>
      <c r="E64" s="4" t="s">
        <v>0</v>
      </c>
      <c r="F64" s="4" t="s">
        <v>489</v>
      </c>
      <c r="G64" s="4">
        <v>98</v>
      </c>
      <c r="H64" s="22">
        <v>1</v>
      </c>
      <c r="I64" s="22" t="s">
        <v>156</v>
      </c>
      <c r="J64" s="26">
        <v>72.8</v>
      </c>
      <c r="K64" s="60">
        <f t="shared" si="2"/>
        <v>6.8681318681318686</v>
      </c>
      <c r="L64" s="11">
        <f t="shared" si="3"/>
        <v>19.131868131868131</v>
      </c>
      <c r="M64" s="22">
        <v>1</v>
      </c>
      <c r="N64" s="57" t="s">
        <v>263</v>
      </c>
      <c r="O64" s="4" t="s">
        <v>539</v>
      </c>
      <c r="P64" s="22" t="s">
        <v>469</v>
      </c>
      <c r="Q64" s="47" t="s">
        <v>480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</row>
    <row r="65" spans="1:257" ht="16">
      <c r="A65" s="22">
        <v>52</v>
      </c>
      <c r="B65" s="4" t="s">
        <v>80</v>
      </c>
      <c r="C65" s="4">
        <v>15</v>
      </c>
      <c r="D65" s="4" t="s">
        <v>472</v>
      </c>
      <c r="E65" s="4" t="s">
        <v>0</v>
      </c>
      <c r="F65" s="22">
        <v>52</v>
      </c>
      <c r="G65" s="4">
        <v>25</v>
      </c>
      <c r="H65" s="22">
        <v>2</v>
      </c>
      <c r="I65" s="22" t="s">
        <v>153</v>
      </c>
      <c r="J65" s="26">
        <v>37.799999999999997</v>
      </c>
      <c r="K65" s="60">
        <f t="shared" si="2"/>
        <v>13.227513227513228</v>
      </c>
      <c r="L65" s="11">
        <f t="shared" si="3"/>
        <v>12.772486772486772</v>
      </c>
      <c r="M65" s="22">
        <v>1</v>
      </c>
      <c r="N65" s="57" t="s">
        <v>536</v>
      </c>
      <c r="O65" s="4" t="s">
        <v>539</v>
      </c>
      <c r="P65" s="22" t="s">
        <v>469</v>
      </c>
      <c r="Q65" s="12" t="s">
        <v>480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</row>
    <row r="66" spans="1:257" ht="16">
      <c r="A66" s="4">
        <v>53</v>
      </c>
      <c r="B66" s="4" t="s">
        <v>10</v>
      </c>
      <c r="C66" s="4">
        <v>3103</v>
      </c>
      <c r="D66" s="22" t="s">
        <v>473</v>
      </c>
      <c r="E66" s="22" t="s">
        <v>473</v>
      </c>
      <c r="F66" s="22">
        <v>53</v>
      </c>
      <c r="G66" s="4">
        <v>100</v>
      </c>
      <c r="H66" s="22">
        <v>1</v>
      </c>
      <c r="I66" s="22" t="s">
        <v>192</v>
      </c>
      <c r="J66" s="26">
        <v>43.2</v>
      </c>
      <c r="K66" s="60">
        <f t="shared" si="2"/>
        <v>11.574074074074073</v>
      </c>
      <c r="L66" s="11">
        <f t="shared" ref="L66:L97" si="4">26-K66</f>
        <v>14.425925925925927</v>
      </c>
      <c r="M66" s="22">
        <v>1</v>
      </c>
      <c r="N66" s="57" t="s">
        <v>29</v>
      </c>
      <c r="O66" s="4" t="s">
        <v>539</v>
      </c>
      <c r="P66" s="22" t="s">
        <v>470</v>
      </c>
      <c r="Q66" s="12" t="s">
        <v>480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</row>
    <row r="67" spans="1:257" ht="16">
      <c r="A67" s="4">
        <v>54</v>
      </c>
      <c r="B67" s="4" t="s">
        <v>80</v>
      </c>
      <c r="C67" s="4">
        <v>8</v>
      </c>
      <c r="D67" s="22" t="s">
        <v>472</v>
      </c>
      <c r="E67" s="22" t="s">
        <v>472</v>
      </c>
      <c r="F67" s="22">
        <v>54</v>
      </c>
      <c r="G67" s="4">
        <v>25</v>
      </c>
      <c r="H67" s="22">
        <v>2</v>
      </c>
      <c r="I67" s="22" t="s">
        <v>60</v>
      </c>
      <c r="J67" s="26">
        <v>34.6</v>
      </c>
      <c r="K67" s="60">
        <f t="shared" si="2"/>
        <v>14.450867052023121</v>
      </c>
      <c r="L67" s="11">
        <f t="shared" si="4"/>
        <v>11.549132947976879</v>
      </c>
      <c r="M67" s="22">
        <v>2</v>
      </c>
      <c r="N67" s="67" t="s">
        <v>301</v>
      </c>
      <c r="O67" s="4" t="s">
        <v>539</v>
      </c>
      <c r="P67" s="22" t="s">
        <v>469</v>
      </c>
      <c r="Q67" s="12" t="s">
        <v>480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</row>
    <row r="68" spans="1:257" ht="16">
      <c r="A68" s="4">
        <v>55</v>
      </c>
      <c r="B68" s="4" t="s">
        <v>161</v>
      </c>
      <c r="C68" s="4" t="s">
        <v>316</v>
      </c>
      <c r="D68" s="4" t="s">
        <v>473</v>
      </c>
      <c r="E68" s="4" t="s">
        <v>0</v>
      </c>
      <c r="F68" s="4" t="s">
        <v>489</v>
      </c>
      <c r="G68" s="4" t="s">
        <v>494</v>
      </c>
      <c r="H68" s="22">
        <v>2</v>
      </c>
      <c r="I68" s="22" t="s">
        <v>156</v>
      </c>
      <c r="J68" s="26">
        <v>25.6</v>
      </c>
      <c r="K68" s="60">
        <f t="shared" si="2"/>
        <v>19.53125</v>
      </c>
      <c r="L68" s="11">
        <f t="shared" si="4"/>
        <v>6.46875</v>
      </c>
      <c r="M68" s="22">
        <v>2</v>
      </c>
      <c r="N68" s="67" t="s">
        <v>378</v>
      </c>
      <c r="O68" s="4" t="s">
        <v>539</v>
      </c>
      <c r="P68" s="22" t="s">
        <v>469</v>
      </c>
      <c r="Q68" s="47" t="s">
        <v>480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</row>
    <row r="69" spans="1:257" ht="16">
      <c r="A69" s="4">
        <v>57</v>
      </c>
      <c r="B69" s="4" t="s">
        <v>20</v>
      </c>
      <c r="C69" s="4">
        <v>2141</v>
      </c>
      <c r="D69" s="4" t="s">
        <v>472</v>
      </c>
      <c r="E69" s="4" t="s">
        <v>472</v>
      </c>
      <c r="F69" s="22">
        <v>57</v>
      </c>
      <c r="G69" s="22">
        <v>25</v>
      </c>
      <c r="H69" s="22">
        <v>2</v>
      </c>
      <c r="I69" s="11" t="s">
        <v>18</v>
      </c>
      <c r="J69" s="26">
        <v>34.200000000000003</v>
      </c>
      <c r="K69" s="60">
        <f t="shared" si="2"/>
        <v>14.619883040935671</v>
      </c>
      <c r="L69" s="11">
        <f t="shared" si="4"/>
        <v>11.380116959064329</v>
      </c>
      <c r="M69" s="22">
        <v>2</v>
      </c>
      <c r="N69" s="68" t="s">
        <v>365</v>
      </c>
      <c r="O69" s="4" t="s">
        <v>539</v>
      </c>
      <c r="P69" s="4" t="s">
        <v>469</v>
      </c>
      <c r="Q69" s="12" t="s">
        <v>480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</row>
    <row r="70" spans="1:257" ht="16">
      <c r="A70" s="22">
        <v>58</v>
      </c>
      <c r="B70" s="22" t="s">
        <v>10</v>
      </c>
      <c r="C70" s="22">
        <v>3786</v>
      </c>
      <c r="D70" s="4" t="s">
        <v>472</v>
      </c>
      <c r="E70" s="4" t="s">
        <v>472</v>
      </c>
      <c r="F70" s="22">
        <v>58</v>
      </c>
      <c r="G70" s="4">
        <v>25</v>
      </c>
      <c r="H70" s="22">
        <v>2</v>
      </c>
      <c r="I70" s="22" t="s">
        <v>172</v>
      </c>
      <c r="J70" s="26">
        <v>36.799999999999997</v>
      </c>
      <c r="K70" s="60">
        <f t="shared" si="2"/>
        <v>13.586956521739131</v>
      </c>
      <c r="L70" s="11">
        <f t="shared" si="4"/>
        <v>12.413043478260869</v>
      </c>
      <c r="M70" s="22">
        <v>2</v>
      </c>
      <c r="N70" s="67" t="s">
        <v>139</v>
      </c>
      <c r="O70" s="4" t="s">
        <v>539</v>
      </c>
      <c r="P70" s="22" t="s">
        <v>469</v>
      </c>
      <c r="Q70" s="12" t="s">
        <v>480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</row>
    <row r="71" spans="1:257" ht="16">
      <c r="A71" s="4">
        <v>59</v>
      </c>
      <c r="B71" s="4" t="s">
        <v>248</v>
      </c>
      <c r="C71" s="4">
        <v>30211</v>
      </c>
      <c r="D71" s="37" t="s">
        <v>473</v>
      </c>
      <c r="E71" s="37" t="s">
        <v>472</v>
      </c>
      <c r="F71" s="37" t="s">
        <v>495</v>
      </c>
      <c r="G71" s="37">
        <v>20</v>
      </c>
      <c r="H71" s="22">
        <v>1</v>
      </c>
      <c r="I71" s="22" t="s">
        <v>380</v>
      </c>
      <c r="J71" s="45">
        <v>64.8</v>
      </c>
      <c r="K71" s="60">
        <f t="shared" si="2"/>
        <v>7.7160493827160499</v>
      </c>
      <c r="L71" s="11">
        <f t="shared" si="4"/>
        <v>18.283950617283949</v>
      </c>
      <c r="M71" s="22">
        <v>1</v>
      </c>
      <c r="N71" s="57" t="s">
        <v>323</v>
      </c>
      <c r="O71" s="37" t="s">
        <v>539</v>
      </c>
      <c r="P71" s="44" t="s">
        <v>469</v>
      </c>
      <c r="Q71" s="48" t="s">
        <v>480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</row>
    <row r="72" spans="1:257" ht="16">
      <c r="A72" s="4">
        <v>60</v>
      </c>
      <c r="B72" s="22" t="s">
        <v>10</v>
      </c>
      <c r="C72" s="22">
        <v>3748</v>
      </c>
      <c r="D72" s="4" t="s">
        <v>472</v>
      </c>
      <c r="E72" s="4" t="s">
        <v>0</v>
      </c>
      <c r="F72" s="22">
        <v>60</v>
      </c>
      <c r="G72" s="4">
        <v>25</v>
      </c>
      <c r="H72" s="22">
        <v>2</v>
      </c>
      <c r="I72" s="22" t="s">
        <v>279</v>
      </c>
      <c r="J72" s="26">
        <v>25</v>
      </c>
      <c r="K72" s="60">
        <f t="shared" si="2"/>
        <v>20</v>
      </c>
      <c r="L72" s="11">
        <f t="shared" si="4"/>
        <v>6</v>
      </c>
      <c r="M72" s="22">
        <v>2</v>
      </c>
      <c r="N72" s="67" t="s">
        <v>380</v>
      </c>
      <c r="O72" s="4" t="s">
        <v>539</v>
      </c>
      <c r="P72" s="22" t="s">
        <v>469</v>
      </c>
      <c r="Q72" s="12" t="s">
        <v>480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</row>
    <row r="73" spans="1:257" ht="16">
      <c r="A73" s="22">
        <v>60</v>
      </c>
      <c r="B73" s="4" t="s">
        <v>10</v>
      </c>
      <c r="C73" s="4">
        <v>1211</v>
      </c>
      <c r="D73" s="22" t="s">
        <v>473</v>
      </c>
      <c r="E73" s="22" t="s">
        <v>458</v>
      </c>
      <c r="F73" s="22" t="s">
        <v>541</v>
      </c>
      <c r="G73" s="4">
        <v>146</v>
      </c>
      <c r="H73" s="22">
        <v>2</v>
      </c>
      <c r="I73" s="22" t="s">
        <v>384</v>
      </c>
      <c r="J73" s="26">
        <v>39</v>
      </c>
      <c r="K73" s="60">
        <v>12.820512820512821</v>
      </c>
      <c r="L73" s="11">
        <f t="shared" si="4"/>
        <v>13.179487179487179</v>
      </c>
      <c r="M73" s="22">
        <v>2</v>
      </c>
      <c r="N73" s="67" t="s">
        <v>373</v>
      </c>
      <c r="O73" s="4" t="s">
        <v>539</v>
      </c>
      <c r="P73" s="22" t="s">
        <v>470</v>
      </c>
      <c r="Q73" s="12" t="s">
        <v>480</v>
      </c>
      <c r="R73" s="4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</row>
    <row r="74" spans="1:257" ht="16">
      <c r="A74" s="22">
        <v>61</v>
      </c>
      <c r="B74" s="22" t="s">
        <v>20</v>
      </c>
      <c r="C74" s="22">
        <v>1302</v>
      </c>
      <c r="D74" s="22" t="s">
        <v>458</v>
      </c>
      <c r="E74" s="22" t="s">
        <v>458</v>
      </c>
      <c r="F74" s="22">
        <v>61</v>
      </c>
      <c r="G74" s="4">
        <v>100</v>
      </c>
      <c r="H74" s="22">
        <v>2</v>
      </c>
      <c r="I74" s="22" t="s">
        <v>301</v>
      </c>
      <c r="J74" s="26">
        <v>39.799999999999997</v>
      </c>
      <c r="K74" s="60">
        <f t="shared" ref="K74:K90" si="5">500/J74</f>
        <v>12.562814070351759</v>
      </c>
      <c r="L74" s="11">
        <f t="shared" si="4"/>
        <v>13.437185929648241</v>
      </c>
      <c r="M74" s="22">
        <v>1</v>
      </c>
      <c r="N74" s="37" t="s">
        <v>534</v>
      </c>
      <c r="O74" s="4" t="s">
        <v>539</v>
      </c>
      <c r="P74" s="4" t="s">
        <v>470</v>
      </c>
      <c r="Q74" s="12" t="s">
        <v>480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</row>
    <row r="75" spans="1:257" ht="16">
      <c r="A75" s="4">
        <v>62</v>
      </c>
      <c r="B75" s="22" t="s">
        <v>10</v>
      </c>
      <c r="C75" s="22">
        <v>4104</v>
      </c>
      <c r="D75" s="22" t="s">
        <v>458</v>
      </c>
      <c r="E75" s="22" t="s">
        <v>458</v>
      </c>
      <c r="F75" s="22">
        <v>62</v>
      </c>
      <c r="G75" s="4">
        <v>25</v>
      </c>
      <c r="H75" s="22">
        <v>1</v>
      </c>
      <c r="I75" s="22" t="s">
        <v>85</v>
      </c>
      <c r="J75" s="26">
        <v>43.4</v>
      </c>
      <c r="K75" s="60">
        <f t="shared" si="5"/>
        <v>11.520737327188941</v>
      </c>
      <c r="L75" s="11">
        <f t="shared" si="4"/>
        <v>14.479262672811059</v>
      </c>
      <c r="M75" s="22">
        <v>1</v>
      </c>
      <c r="N75" s="57" t="s">
        <v>372</v>
      </c>
      <c r="O75" s="4" t="s">
        <v>539</v>
      </c>
      <c r="P75" s="4" t="s">
        <v>470</v>
      </c>
      <c r="Q75" s="12" t="s">
        <v>480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</row>
    <row r="76" spans="1:257" ht="16">
      <c r="A76" s="4">
        <v>63</v>
      </c>
      <c r="B76" s="22" t="s">
        <v>10</v>
      </c>
      <c r="C76" s="22">
        <v>4101</v>
      </c>
      <c r="D76" s="22" t="s">
        <v>473</v>
      </c>
      <c r="E76" s="22" t="s">
        <v>472</v>
      </c>
      <c r="F76" s="22">
        <v>63</v>
      </c>
      <c r="G76" s="4">
        <v>250</v>
      </c>
      <c r="H76" s="22">
        <v>1</v>
      </c>
      <c r="I76" s="22" t="s">
        <v>379</v>
      </c>
      <c r="J76" s="26">
        <v>67</v>
      </c>
      <c r="K76" s="60">
        <f t="shared" si="5"/>
        <v>7.4626865671641793</v>
      </c>
      <c r="L76" s="11">
        <f t="shared" si="4"/>
        <v>18.53731343283582</v>
      </c>
      <c r="M76" s="22">
        <v>1</v>
      </c>
      <c r="N76" s="57" t="s">
        <v>524</v>
      </c>
      <c r="O76" s="4" t="s">
        <v>539</v>
      </c>
      <c r="P76" s="4" t="s">
        <v>469</v>
      </c>
      <c r="Q76" s="12" t="s">
        <v>480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</row>
    <row r="77" spans="1:257" ht="16">
      <c r="A77" s="22">
        <v>64</v>
      </c>
      <c r="B77" s="22" t="s">
        <v>10</v>
      </c>
      <c r="C77" s="22">
        <v>4093</v>
      </c>
      <c r="D77" s="22" t="s">
        <v>473</v>
      </c>
      <c r="E77" s="22" t="s">
        <v>0</v>
      </c>
      <c r="F77" s="22">
        <v>64</v>
      </c>
      <c r="G77" s="4">
        <v>250</v>
      </c>
      <c r="H77" s="22">
        <v>2</v>
      </c>
      <c r="I77" s="22" t="s">
        <v>364</v>
      </c>
      <c r="J77" s="26">
        <v>40.200000000000003</v>
      </c>
      <c r="K77" s="60">
        <f t="shared" si="5"/>
        <v>12.437810945273631</v>
      </c>
      <c r="L77" s="11">
        <f t="shared" si="4"/>
        <v>13.562189054726369</v>
      </c>
      <c r="M77" s="22">
        <v>1</v>
      </c>
      <c r="N77" s="57" t="s">
        <v>311</v>
      </c>
      <c r="O77" s="4" t="s">
        <v>539</v>
      </c>
      <c r="P77" s="4" t="s">
        <v>469</v>
      </c>
      <c r="Q77" s="12" t="s">
        <v>480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</row>
    <row r="78" spans="1:257" ht="16">
      <c r="A78" s="4">
        <v>65</v>
      </c>
      <c r="B78" s="22" t="s">
        <v>10</v>
      </c>
      <c r="C78" s="22">
        <v>4098</v>
      </c>
      <c r="D78" s="22" t="s">
        <v>472</v>
      </c>
      <c r="E78" s="22" t="s">
        <v>0</v>
      </c>
      <c r="F78" s="22">
        <v>65</v>
      </c>
      <c r="G78" s="4">
        <v>20</v>
      </c>
      <c r="H78" s="22">
        <v>1</v>
      </c>
      <c r="I78" s="22" t="s">
        <v>98</v>
      </c>
      <c r="J78" s="26">
        <v>54.4</v>
      </c>
      <c r="K78" s="60">
        <f t="shared" si="5"/>
        <v>9.1911764705882355</v>
      </c>
      <c r="L78" s="11">
        <f t="shared" si="4"/>
        <v>16.808823529411764</v>
      </c>
      <c r="M78" s="22">
        <v>1</v>
      </c>
      <c r="N78" s="57" t="s">
        <v>380</v>
      </c>
      <c r="O78" s="4" t="s">
        <v>539</v>
      </c>
      <c r="P78" s="22" t="s">
        <v>469</v>
      </c>
      <c r="Q78" s="12" t="s">
        <v>480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</row>
    <row r="79" spans="1:257" ht="16">
      <c r="A79" s="4">
        <v>65</v>
      </c>
      <c r="B79" s="4" t="s">
        <v>10</v>
      </c>
      <c r="C79" s="4">
        <v>4100</v>
      </c>
      <c r="D79" s="4" t="s">
        <v>472</v>
      </c>
      <c r="E79" s="4" t="s">
        <v>0</v>
      </c>
      <c r="F79" s="4" t="s">
        <v>489</v>
      </c>
      <c r="G79" s="4">
        <v>80</v>
      </c>
      <c r="H79" s="22">
        <v>2</v>
      </c>
      <c r="I79" s="22" t="s">
        <v>382</v>
      </c>
      <c r="J79" s="62">
        <v>24.4</v>
      </c>
      <c r="K79" s="60">
        <f t="shared" si="5"/>
        <v>20.491803278688526</v>
      </c>
      <c r="L79" s="11">
        <f t="shared" si="4"/>
        <v>5.5081967213114744</v>
      </c>
      <c r="M79" s="22">
        <v>2</v>
      </c>
      <c r="N79" s="69" t="s">
        <v>51</v>
      </c>
      <c r="O79" s="4" t="s">
        <v>539</v>
      </c>
      <c r="P79" s="22" t="s">
        <v>469</v>
      </c>
      <c r="Q79" s="47" t="s">
        <v>480</v>
      </c>
      <c r="R79" s="62" t="s">
        <v>543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</row>
    <row r="80" spans="1:257" ht="16">
      <c r="A80" s="4">
        <v>66</v>
      </c>
      <c r="B80" s="4" t="s">
        <v>20</v>
      </c>
      <c r="C80" s="4">
        <v>1305</v>
      </c>
      <c r="D80" s="22" t="s">
        <v>473</v>
      </c>
      <c r="E80" s="22" t="s">
        <v>473</v>
      </c>
      <c r="F80" s="22">
        <v>66</v>
      </c>
      <c r="G80" s="4">
        <v>180</v>
      </c>
      <c r="H80" s="22">
        <v>1</v>
      </c>
      <c r="I80" s="11" t="s">
        <v>94</v>
      </c>
      <c r="J80" s="26">
        <v>87.8</v>
      </c>
      <c r="K80" s="60">
        <f t="shared" si="5"/>
        <v>5.6947608200455582</v>
      </c>
      <c r="L80" s="11">
        <f t="shared" si="4"/>
        <v>20.305239179954441</v>
      </c>
      <c r="M80" s="22">
        <v>1</v>
      </c>
      <c r="N80" s="57" t="s">
        <v>346</v>
      </c>
      <c r="O80" s="4" t="s">
        <v>539</v>
      </c>
      <c r="P80" s="4" t="s">
        <v>469</v>
      </c>
      <c r="Q80" s="12" t="s">
        <v>480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</row>
    <row r="81" spans="1:257" ht="16">
      <c r="A81" s="22">
        <v>67</v>
      </c>
      <c r="B81" s="4" t="s">
        <v>10</v>
      </c>
      <c r="C81" s="4">
        <v>4105</v>
      </c>
      <c r="D81" s="22" t="s">
        <v>473</v>
      </c>
      <c r="E81" s="22" t="s">
        <v>472</v>
      </c>
      <c r="F81" s="22">
        <v>67</v>
      </c>
      <c r="G81" s="4">
        <v>250</v>
      </c>
      <c r="H81" s="22">
        <v>1</v>
      </c>
      <c r="I81" s="22" t="s">
        <v>130</v>
      </c>
      <c r="J81" s="26">
        <v>59</v>
      </c>
      <c r="K81" s="60">
        <f t="shared" si="5"/>
        <v>8.4745762711864412</v>
      </c>
      <c r="L81" s="11">
        <f t="shared" si="4"/>
        <v>17.525423728813557</v>
      </c>
      <c r="M81" s="22">
        <v>1</v>
      </c>
      <c r="N81" s="58" t="s">
        <v>526</v>
      </c>
      <c r="O81" s="4" t="s">
        <v>539</v>
      </c>
      <c r="P81" s="22" t="s">
        <v>469</v>
      </c>
      <c r="Q81" s="12" t="s">
        <v>480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</row>
    <row r="82" spans="1:257" ht="16">
      <c r="A82" s="4">
        <v>67</v>
      </c>
      <c r="B82" s="4" t="s">
        <v>10</v>
      </c>
      <c r="C82" s="4">
        <v>4102</v>
      </c>
      <c r="D82" s="4" t="s">
        <v>473</v>
      </c>
      <c r="E82" s="4" t="s">
        <v>472</v>
      </c>
      <c r="F82" s="4" t="s">
        <v>489</v>
      </c>
      <c r="G82" s="4">
        <v>45</v>
      </c>
      <c r="H82" s="22">
        <v>1</v>
      </c>
      <c r="I82" s="22" t="s">
        <v>373</v>
      </c>
      <c r="J82" s="26">
        <v>52</v>
      </c>
      <c r="K82" s="60">
        <f t="shared" si="5"/>
        <v>9.615384615384615</v>
      </c>
      <c r="L82" s="11">
        <f t="shared" si="4"/>
        <v>16.384615384615387</v>
      </c>
      <c r="M82" s="22">
        <v>1</v>
      </c>
      <c r="N82" s="57" t="s">
        <v>381</v>
      </c>
      <c r="O82" s="4" t="s">
        <v>539</v>
      </c>
      <c r="P82" s="22" t="s">
        <v>469</v>
      </c>
      <c r="Q82" s="47" t="s">
        <v>480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</row>
    <row r="83" spans="1:257" ht="16">
      <c r="A83" s="4">
        <v>68</v>
      </c>
      <c r="B83" s="4" t="s">
        <v>193</v>
      </c>
      <c r="C83" s="4">
        <v>546</v>
      </c>
      <c r="D83" s="4" t="s">
        <v>473</v>
      </c>
      <c r="E83" s="4" t="s">
        <v>472</v>
      </c>
      <c r="F83" s="4" t="s">
        <v>489</v>
      </c>
      <c r="G83" s="4">
        <v>20</v>
      </c>
      <c r="H83" s="22">
        <v>1</v>
      </c>
      <c r="I83" s="22" t="s">
        <v>381</v>
      </c>
      <c r="J83" s="26">
        <v>64.599999999999994</v>
      </c>
      <c r="K83" s="60">
        <f t="shared" si="5"/>
        <v>7.7399380804953566</v>
      </c>
      <c r="L83" s="11">
        <f t="shared" si="4"/>
        <v>18.260061919504643</v>
      </c>
      <c r="M83" s="22">
        <v>1</v>
      </c>
      <c r="N83" s="57" t="s">
        <v>120</v>
      </c>
      <c r="O83" s="4" t="s">
        <v>539</v>
      </c>
      <c r="P83" s="22" t="s">
        <v>470</v>
      </c>
      <c r="Q83" s="47" t="s">
        <v>480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</row>
    <row r="84" spans="1:257" ht="16">
      <c r="A84" s="4">
        <v>69</v>
      </c>
      <c r="B84" s="4" t="s">
        <v>10</v>
      </c>
      <c r="C84" s="4">
        <v>4065</v>
      </c>
      <c r="D84" s="22" t="s">
        <v>473</v>
      </c>
      <c r="E84" s="22" t="s">
        <v>0</v>
      </c>
      <c r="F84" s="22">
        <v>69</v>
      </c>
      <c r="G84" s="4">
        <v>240</v>
      </c>
      <c r="H84" s="22">
        <v>2</v>
      </c>
      <c r="I84" s="22" t="s">
        <v>120</v>
      </c>
      <c r="J84" s="26">
        <v>27.2</v>
      </c>
      <c r="K84" s="60">
        <f t="shared" si="5"/>
        <v>18.382352941176471</v>
      </c>
      <c r="L84" s="11">
        <f t="shared" si="4"/>
        <v>7.617647058823529</v>
      </c>
      <c r="M84" s="22">
        <v>2</v>
      </c>
      <c r="N84" s="67" t="s">
        <v>238</v>
      </c>
      <c r="O84" s="4" t="s">
        <v>539</v>
      </c>
      <c r="P84" s="22" t="s">
        <v>469</v>
      </c>
      <c r="Q84" s="12" t="s">
        <v>480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</row>
    <row r="85" spans="1:257" ht="16">
      <c r="A85" s="22">
        <v>70</v>
      </c>
      <c r="B85" s="4" t="s">
        <v>54</v>
      </c>
      <c r="C85" s="4">
        <v>653</v>
      </c>
      <c r="D85" s="22" t="s">
        <v>473</v>
      </c>
      <c r="E85" s="22" t="s">
        <v>473</v>
      </c>
      <c r="F85" s="22">
        <v>70</v>
      </c>
      <c r="G85" s="4">
        <v>90</v>
      </c>
      <c r="H85" s="22">
        <v>1</v>
      </c>
      <c r="I85" s="22" t="s">
        <v>365</v>
      </c>
      <c r="J85" s="26">
        <v>102</v>
      </c>
      <c r="K85" s="60">
        <f t="shared" si="5"/>
        <v>4.9019607843137258</v>
      </c>
      <c r="L85" s="11">
        <f t="shared" si="4"/>
        <v>21.098039215686274</v>
      </c>
      <c r="M85" s="22">
        <v>1</v>
      </c>
      <c r="N85" s="67" t="s">
        <v>376</v>
      </c>
      <c r="O85" s="4" t="s">
        <v>539</v>
      </c>
      <c r="P85" s="4" t="s">
        <v>470</v>
      </c>
      <c r="Q85" s="12" t="s">
        <v>480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</row>
    <row r="86" spans="1:257" ht="16">
      <c r="A86" s="4">
        <v>71</v>
      </c>
      <c r="B86" s="4" t="s">
        <v>10</v>
      </c>
      <c r="C86" s="4">
        <v>3783</v>
      </c>
      <c r="D86" s="37" t="s">
        <v>473</v>
      </c>
      <c r="E86" s="37" t="s">
        <v>472</v>
      </c>
      <c r="F86" s="37" t="s">
        <v>495</v>
      </c>
      <c r="G86" s="37">
        <v>20</v>
      </c>
      <c r="H86" s="22">
        <v>1</v>
      </c>
      <c r="I86" s="22" t="s">
        <v>319</v>
      </c>
      <c r="J86" s="45">
        <v>60</v>
      </c>
      <c r="K86" s="60">
        <f t="shared" si="5"/>
        <v>8.3333333333333339</v>
      </c>
      <c r="L86" s="11">
        <f t="shared" si="4"/>
        <v>17.666666666666664</v>
      </c>
      <c r="M86" s="22">
        <v>1</v>
      </c>
      <c r="N86" s="37" t="s">
        <v>525</v>
      </c>
      <c r="O86" s="37" t="s">
        <v>539</v>
      </c>
      <c r="P86" s="44" t="s">
        <v>469</v>
      </c>
      <c r="Q86" s="48" t="s">
        <v>480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</row>
    <row r="87" spans="1:257" ht="16">
      <c r="A87" s="4">
        <v>71</v>
      </c>
      <c r="B87" s="22" t="s">
        <v>10</v>
      </c>
      <c r="C87" s="22">
        <v>3782</v>
      </c>
      <c r="D87" s="4" t="s">
        <v>472</v>
      </c>
      <c r="E87" s="4" t="s">
        <v>472</v>
      </c>
      <c r="F87" s="22">
        <v>71</v>
      </c>
      <c r="G87" s="4">
        <v>20</v>
      </c>
      <c r="H87" s="22">
        <v>2</v>
      </c>
      <c r="I87" s="22" t="s">
        <v>46</v>
      </c>
      <c r="J87" s="26">
        <v>41.2</v>
      </c>
      <c r="K87" s="60">
        <f t="shared" si="5"/>
        <v>12.135922330097086</v>
      </c>
      <c r="L87" s="11">
        <f t="shared" si="4"/>
        <v>13.864077669902914</v>
      </c>
      <c r="M87" s="22">
        <v>1</v>
      </c>
      <c r="N87" s="57" t="s">
        <v>326</v>
      </c>
      <c r="O87" s="4" t="s">
        <v>539</v>
      </c>
      <c r="P87" s="22" t="s">
        <v>470</v>
      </c>
      <c r="Q87" s="12" t="s">
        <v>480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</row>
    <row r="88" spans="1:257" ht="16">
      <c r="A88" s="4">
        <v>72</v>
      </c>
      <c r="B88" s="22" t="s">
        <v>10</v>
      </c>
      <c r="C88" s="22">
        <v>4091</v>
      </c>
      <c r="D88" s="22" t="s">
        <v>458</v>
      </c>
      <c r="E88" s="22" t="s">
        <v>472</v>
      </c>
      <c r="F88" s="22">
        <v>72</v>
      </c>
      <c r="G88" s="4">
        <v>90</v>
      </c>
      <c r="H88" s="22">
        <v>2</v>
      </c>
      <c r="I88" s="22" t="s">
        <v>64</v>
      </c>
      <c r="J88" s="26">
        <v>32.799999999999997</v>
      </c>
      <c r="K88" s="60">
        <f t="shared" si="5"/>
        <v>15.243902439024392</v>
      </c>
      <c r="L88" s="11">
        <f t="shared" si="4"/>
        <v>10.756097560975608</v>
      </c>
      <c r="M88" s="22">
        <v>2</v>
      </c>
      <c r="N88" s="67" t="s">
        <v>50</v>
      </c>
      <c r="O88" s="4" t="s">
        <v>539</v>
      </c>
      <c r="P88" s="22" t="s">
        <v>469</v>
      </c>
      <c r="Q88" s="12" t="s">
        <v>480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</row>
    <row r="89" spans="1:257" ht="16">
      <c r="A89" s="4">
        <v>74</v>
      </c>
      <c r="B89" s="22" t="s">
        <v>20</v>
      </c>
      <c r="C89" s="22">
        <v>1321</v>
      </c>
      <c r="D89" s="22" t="s">
        <v>458</v>
      </c>
      <c r="E89" s="22" t="s">
        <v>472</v>
      </c>
      <c r="F89" s="22">
        <v>74</v>
      </c>
      <c r="G89" s="4">
        <v>150</v>
      </c>
      <c r="H89" s="22">
        <v>1</v>
      </c>
      <c r="I89" s="22" t="s">
        <v>127</v>
      </c>
      <c r="J89" s="26">
        <v>100</v>
      </c>
      <c r="K89" s="60">
        <f t="shared" si="5"/>
        <v>5</v>
      </c>
      <c r="L89" s="11">
        <f t="shared" si="4"/>
        <v>21</v>
      </c>
      <c r="M89" s="22">
        <v>1</v>
      </c>
      <c r="N89" s="67" t="s">
        <v>172</v>
      </c>
      <c r="O89" s="4" t="s">
        <v>539</v>
      </c>
      <c r="P89" s="4" t="s">
        <v>470</v>
      </c>
      <c r="Q89" s="12" t="s">
        <v>480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</row>
    <row r="90" spans="1:257" ht="16">
      <c r="A90" s="4">
        <v>75</v>
      </c>
      <c r="B90" s="22" t="s">
        <v>10</v>
      </c>
      <c r="C90" s="22">
        <v>4110</v>
      </c>
      <c r="D90" s="22" t="s">
        <v>473</v>
      </c>
      <c r="E90" s="22" t="s">
        <v>0</v>
      </c>
      <c r="F90" s="22">
        <v>75</v>
      </c>
      <c r="G90" s="4">
        <v>250</v>
      </c>
      <c r="H90" s="22">
        <v>1</v>
      </c>
      <c r="I90" s="22" t="s">
        <v>263</v>
      </c>
      <c r="J90" s="26">
        <v>81.2</v>
      </c>
      <c r="K90" s="60">
        <f t="shared" si="5"/>
        <v>6.1576354679802954</v>
      </c>
      <c r="L90" s="11">
        <f t="shared" si="4"/>
        <v>19.842364532019705</v>
      </c>
      <c r="M90" s="22">
        <v>1</v>
      </c>
      <c r="N90" s="57" t="s">
        <v>95</v>
      </c>
      <c r="O90" s="4" t="s">
        <v>539</v>
      </c>
      <c r="P90" s="4" t="s">
        <v>469</v>
      </c>
      <c r="Q90" s="12" t="s">
        <v>480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</row>
    <row r="91" spans="1:257" ht="16">
      <c r="A91" s="22">
        <v>75</v>
      </c>
      <c r="B91" s="4" t="s">
        <v>10</v>
      </c>
      <c r="C91" s="4">
        <v>4109</v>
      </c>
      <c r="D91" s="22" t="s">
        <v>473</v>
      </c>
      <c r="E91" s="22" t="s">
        <v>472</v>
      </c>
      <c r="F91" s="22" t="s">
        <v>541</v>
      </c>
      <c r="G91" s="4">
        <v>116</v>
      </c>
      <c r="H91" s="22">
        <v>2</v>
      </c>
      <c r="I91" s="22" t="s">
        <v>383</v>
      </c>
      <c r="J91" s="26">
        <v>38</v>
      </c>
      <c r="K91" s="60">
        <v>13.157894736842104</v>
      </c>
      <c r="L91" s="11">
        <f t="shared" si="4"/>
        <v>12.842105263157896</v>
      </c>
      <c r="M91" s="22">
        <v>2</v>
      </c>
      <c r="N91" s="67" t="s">
        <v>98</v>
      </c>
      <c r="O91" s="4" t="s">
        <v>539</v>
      </c>
      <c r="P91" s="22" t="s">
        <v>469</v>
      </c>
      <c r="Q91" s="12" t="s">
        <v>480</v>
      </c>
      <c r="R91" s="4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</row>
    <row r="92" spans="1:257" ht="16">
      <c r="A92" s="22">
        <v>76</v>
      </c>
      <c r="B92" s="22" t="s">
        <v>10</v>
      </c>
      <c r="C92" s="22">
        <v>4118</v>
      </c>
      <c r="D92" s="22" t="s">
        <v>473</v>
      </c>
      <c r="E92" s="22" t="s">
        <v>472</v>
      </c>
      <c r="F92" s="22">
        <v>76</v>
      </c>
      <c r="G92" s="4">
        <v>250</v>
      </c>
      <c r="H92" s="22">
        <v>2</v>
      </c>
      <c r="I92" s="22" t="s">
        <v>139</v>
      </c>
      <c r="J92" s="26">
        <v>42.2</v>
      </c>
      <c r="K92" s="60">
        <f t="shared" ref="K92:K138" si="6">500/J92</f>
        <v>11.848341232227487</v>
      </c>
      <c r="L92" s="11">
        <f t="shared" si="4"/>
        <v>14.151658767772513</v>
      </c>
      <c r="M92" s="22">
        <v>1</v>
      </c>
      <c r="N92" s="57" t="s">
        <v>533</v>
      </c>
      <c r="O92" s="4" t="s">
        <v>539</v>
      </c>
      <c r="P92" s="4" t="s">
        <v>469</v>
      </c>
      <c r="Q92" s="12" t="s">
        <v>480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</row>
    <row r="93" spans="1:257" ht="16">
      <c r="A93" s="4">
        <v>77</v>
      </c>
      <c r="B93" s="4" t="s">
        <v>10</v>
      </c>
      <c r="C93" s="4">
        <v>3769</v>
      </c>
      <c r="D93" s="4" t="s">
        <v>473</v>
      </c>
      <c r="E93" s="4" t="s">
        <v>472</v>
      </c>
      <c r="F93" s="4" t="s">
        <v>495</v>
      </c>
      <c r="G93" s="4">
        <v>20</v>
      </c>
      <c r="H93" s="22">
        <v>1</v>
      </c>
      <c r="I93" s="22" t="s">
        <v>367</v>
      </c>
      <c r="J93" s="26">
        <v>82.2</v>
      </c>
      <c r="K93" s="60">
        <f t="shared" si="6"/>
        <v>6.0827250608272507</v>
      </c>
      <c r="L93" s="11">
        <f t="shared" si="4"/>
        <v>19.917274939172749</v>
      </c>
      <c r="M93" s="22">
        <v>1</v>
      </c>
      <c r="N93" s="57" t="s">
        <v>18</v>
      </c>
      <c r="O93" s="4" t="s">
        <v>539</v>
      </c>
      <c r="P93" s="22" t="s">
        <v>469</v>
      </c>
      <c r="Q93" s="47" t="s">
        <v>480</v>
      </c>
      <c r="R93" s="4" t="s">
        <v>499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</row>
    <row r="94" spans="1:257" ht="16">
      <c r="A94" s="4">
        <v>77</v>
      </c>
      <c r="B94" s="22" t="s">
        <v>10</v>
      </c>
      <c r="C94" s="22">
        <v>3770</v>
      </c>
      <c r="D94" s="22" t="s">
        <v>458</v>
      </c>
      <c r="E94" s="22" t="s">
        <v>472</v>
      </c>
      <c r="F94" s="22">
        <v>77</v>
      </c>
      <c r="G94" s="4">
        <v>250</v>
      </c>
      <c r="H94" s="22">
        <v>2</v>
      </c>
      <c r="I94" s="22" t="s">
        <v>273</v>
      </c>
      <c r="J94" s="26">
        <v>29.8</v>
      </c>
      <c r="K94" s="60">
        <f t="shared" si="6"/>
        <v>16.778523489932887</v>
      </c>
      <c r="L94" s="11">
        <f t="shared" si="4"/>
        <v>9.221476510067113</v>
      </c>
      <c r="M94" s="22">
        <v>2</v>
      </c>
      <c r="N94" s="67" t="s">
        <v>367</v>
      </c>
      <c r="O94" s="4" t="s">
        <v>539</v>
      </c>
      <c r="P94" s="4" t="s">
        <v>469</v>
      </c>
      <c r="Q94" s="12" t="s">
        <v>480</v>
      </c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1:257" ht="16">
      <c r="A95" s="4">
        <v>78</v>
      </c>
      <c r="B95" s="22" t="s">
        <v>10</v>
      </c>
      <c r="C95" s="22">
        <v>3759</v>
      </c>
      <c r="D95" s="4" t="s">
        <v>472</v>
      </c>
      <c r="E95" s="4" t="s">
        <v>0</v>
      </c>
      <c r="F95" s="22">
        <v>78</v>
      </c>
      <c r="G95" s="4">
        <v>19</v>
      </c>
      <c r="H95" s="22">
        <v>2</v>
      </c>
      <c r="I95" s="22" t="s">
        <v>243</v>
      </c>
      <c r="J95" s="26">
        <v>37.200000000000003</v>
      </c>
      <c r="K95" s="60">
        <f t="shared" si="6"/>
        <v>13.440860215053762</v>
      </c>
      <c r="L95" s="11">
        <f t="shared" si="4"/>
        <v>12.559139784946238</v>
      </c>
      <c r="M95" s="22">
        <v>2</v>
      </c>
      <c r="N95" s="67" t="s">
        <v>363</v>
      </c>
      <c r="O95" s="22" t="s">
        <v>539</v>
      </c>
      <c r="P95" s="22" t="s">
        <v>469</v>
      </c>
      <c r="Q95" s="12" t="s">
        <v>480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</row>
    <row r="96" spans="1:257" ht="16">
      <c r="A96" s="4">
        <v>80</v>
      </c>
      <c r="B96" s="22" t="s">
        <v>10</v>
      </c>
      <c r="C96" s="22">
        <v>4155</v>
      </c>
      <c r="D96" s="22" t="s">
        <v>473</v>
      </c>
      <c r="E96" s="22" t="s">
        <v>0</v>
      </c>
      <c r="F96" s="22">
        <v>80</v>
      </c>
      <c r="G96" s="4">
        <v>250</v>
      </c>
      <c r="H96" s="22">
        <v>2</v>
      </c>
      <c r="I96" s="22" t="s">
        <v>378</v>
      </c>
      <c r="J96" s="26">
        <v>23.6</v>
      </c>
      <c r="K96" s="60">
        <f t="shared" si="6"/>
        <v>21.1864406779661</v>
      </c>
      <c r="L96" s="11">
        <f t="shared" si="4"/>
        <v>4.8135593220338997</v>
      </c>
      <c r="M96" s="22">
        <v>2</v>
      </c>
      <c r="N96" s="67" t="s">
        <v>386</v>
      </c>
      <c r="O96" s="4" t="s">
        <v>539</v>
      </c>
      <c r="P96" s="4" t="s">
        <v>469</v>
      </c>
      <c r="Q96" s="12" t="s">
        <v>480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</row>
    <row r="97" spans="1:257" ht="16">
      <c r="A97" s="4">
        <v>81</v>
      </c>
      <c r="B97" s="22" t="s">
        <v>10</v>
      </c>
      <c r="C97" s="22">
        <v>3767</v>
      </c>
      <c r="D97" s="4" t="s">
        <v>473</v>
      </c>
      <c r="E97" s="4" t="s">
        <v>458</v>
      </c>
      <c r="F97" s="22">
        <v>81</v>
      </c>
      <c r="G97" s="4">
        <v>20</v>
      </c>
      <c r="H97" s="22">
        <v>2</v>
      </c>
      <c r="I97" s="22" t="s">
        <v>363</v>
      </c>
      <c r="J97" s="26">
        <v>42.4</v>
      </c>
      <c r="K97" s="60">
        <f t="shared" si="6"/>
        <v>11.79245283018868</v>
      </c>
      <c r="L97" s="11">
        <f t="shared" si="4"/>
        <v>14.20754716981132</v>
      </c>
      <c r="M97" s="22">
        <v>1</v>
      </c>
      <c r="N97" s="58" t="s">
        <v>532</v>
      </c>
      <c r="O97" s="4" t="s">
        <v>539</v>
      </c>
      <c r="P97" s="22" t="s">
        <v>469</v>
      </c>
      <c r="Q97" s="12" t="s">
        <v>480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</row>
    <row r="98" spans="1:257" ht="16">
      <c r="A98" s="22">
        <v>82</v>
      </c>
      <c r="B98" s="22" t="s">
        <v>20</v>
      </c>
      <c r="C98" s="22">
        <v>2567</v>
      </c>
      <c r="D98" s="22" t="s">
        <v>473</v>
      </c>
      <c r="E98" s="22" t="s">
        <v>472</v>
      </c>
      <c r="F98" s="22">
        <v>82</v>
      </c>
      <c r="G98" s="4">
        <v>250</v>
      </c>
      <c r="H98" s="22">
        <v>1</v>
      </c>
      <c r="I98" s="22" t="s">
        <v>377</v>
      </c>
      <c r="J98" s="26">
        <v>68.8</v>
      </c>
      <c r="K98" s="60">
        <f t="shared" si="6"/>
        <v>7.2674418604651168</v>
      </c>
      <c r="L98" s="11">
        <f t="shared" ref="L98:L129" si="7">26-K98</f>
        <v>18.732558139534884</v>
      </c>
      <c r="M98" s="22">
        <v>1</v>
      </c>
      <c r="N98" s="37" t="s">
        <v>522</v>
      </c>
      <c r="O98" s="4" t="s">
        <v>539</v>
      </c>
      <c r="P98" s="4" t="s">
        <v>469</v>
      </c>
      <c r="Q98" s="12" t="s">
        <v>480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</row>
    <row r="99" spans="1:257" ht="16">
      <c r="A99" s="4">
        <v>82</v>
      </c>
      <c r="B99" s="4" t="s">
        <v>10</v>
      </c>
      <c r="C99" s="4">
        <v>1422</v>
      </c>
      <c r="D99" s="4" t="s">
        <v>473</v>
      </c>
      <c r="E99" s="4" t="s">
        <v>0</v>
      </c>
      <c r="F99" s="4" t="s">
        <v>489</v>
      </c>
      <c r="G99" s="4">
        <v>45</v>
      </c>
      <c r="H99" s="22">
        <v>2</v>
      </c>
      <c r="I99" s="22" t="s">
        <v>369</v>
      </c>
      <c r="J99" s="26">
        <v>23.8</v>
      </c>
      <c r="K99" s="60">
        <f t="shared" si="6"/>
        <v>21.008403361344538</v>
      </c>
      <c r="L99" s="11">
        <f t="shared" si="7"/>
        <v>4.9915966386554622</v>
      </c>
      <c r="M99" s="22">
        <v>2</v>
      </c>
      <c r="N99" s="22" t="s">
        <v>381</v>
      </c>
      <c r="O99" s="4" t="s">
        <v>539</v>
      </c>
      <c r="P99" s="22" t="s">
        <v>469</v>
      </c>
      <c r="Q99" s="47" t="s">
        <v>480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</row>
    <row r="100" spans="1:257" ht="16">
      <c r="A100" s="4">
        <v>83</v>
      </c>
      <c r="B100" s="22" t="s">
        <v>10</v>
      </c>
      <c r="C100" s="22">
        <v>1413</v>
      </c>
      <c r="D100" s="22" t="s">
        <v>478</v>
      </c>
      <c r="E100" s="22" t="s">
        <v>458</v>
      </c>
      <c r="F100" s="22">
        <v>83</v>
      </c>
      <c r="G100" s="4">
        <v>250</v>
      </c>
      <c r="H100" s="22">
        <v>2</v>
      </c>
      <c r="I100" s="22" t="s">
        <v>19</v>
      </c>
      <c r="J100" s="26">
        <v>41.6</v>
      </c>
      <c r="K100" s="60">
        <f t="shared" si="6"/>
        <v>12.019230769230768</v>
      </c>
      <c r="L100" s="11">
        <f t="shared" si="7"/>
        <v>13.980769230769232</v>
      </c>
      <c r="M100" s="22">
        <v>1</v>
      </c>
      <c r="N100" s="37" t="s">
        <v>373</v>
      </c>
      <c r="O100" s="4" t="s">
        <v>539</v>
      </c>
      <c r="P100" s="22" t="s">
        <v>470</v>
      </c>
      <c r="Q100" s="12" t="s">
        <v>480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</row>
    <row r="101" spans="1:257" ht="16">
      <c r="A101" s="4">
        <v>84</v>
      </c>
      <c r="B101" s="4" t="s">
        <v>10</v>
      </c>
      <c r="C101" s="4">
        <v>1846</v>
      </c>
      <c r="D101" s="4" t="s">
        <v>473</v>
      </c>
      <c r="E101" s="4" t="s">
        <v>458</v>
      </c>
      <c r="F101" s="4" t="s">
        <v>489</v>
      </c>
      <c r="G101" s="4" t="s">
        <v>493</v>
      </c>
      <c r="H101" s="22">
        <v>1</v>
      </c>
      <c r="I101" s="22" t="s">
        <v>139</v>
      </c>
      <c r="J101" s="26">
        <v>116</v>
      </c>
      <c r="K101" s="60">
        <f t="shared" si="6"/>
        <v>4.3103448275862073</v>
      </c>
      <c r="L101" s="11">
        <f t="shared" si="7"/>
        <v>21.689655172413794</v>
      </c>
      <c r="M101" s="22">
        <v>1</v>
      </c>
      <c r="N101" s="22" t="s">
        <v>139</v>
      </c>
      <c r="O101" s="4"/>
      <c r="P101" s="22" t="s">
        <v>470</v>
      </c>
      <c r="Q101" s="47" t="s">
        <v>480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</row>
    <row r="102" spans="1:257" ht="16">
      <c r="A102" s="4">
        <v>84</v>
      </c>
      <c r="B102" s="4" t="s">
        <v>10</v>
      </c>
      <c r="C102" s="4">
        <v>1506</v>
      </c>
      <c r="D102" s="22" t="s">
        <v>478</v>
      </c>
      <c r="E102" s="22" t="s">
        <v>472</v>
      </c>
      <c r="F102" s="22">
        <v>84</v>
      </c>
      <c r="G102" s="4">
        <v>250</v>
      </c>
      <c r="H102" s="22">
        <v>1</v>
      </c>
      <c r="I102" s="22" t="s">
        <v>311</v>
      </c>
      <c r="J102" s="26">
        <v>47.2</v>
      </c>
      <c r="K102" s="60">
        <f t="shared" si="6"/>
        <v>10.59322033898305</v>
      </c>
      <c r="L102" s="11">
        <f t="shared" si="7"/>
        <v>15.40677966101695</v>
      </c>
      <c r="M102" s="22">
        <v>1</v>
      </c>
      <c r="N102" s="37" t="s">
        <v>530</v>
      </c>
      <c r="O102" s="4" t="s">
        <v>539</v>
      </c>
      <c r="P102" s="22" t="s">
        <v>469</v>
      </c>
      <c r="Q102" s="12" t="s">
        <v>480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</row>
    <row r="103" spans="1:257" ht="16">
      <c r="A103" s="22">
        <v>85</v>
      </c>
      <c r="B103" s="4" t="s">
        <v>10</v>
      </c>
      <c r="C103" s="4">
        <v>4202</v>
      </c>
      <c r="D103" s="22" t="s">
        <v>473</v>
      </c>
      <c r="E103" s="22" t="s">
        <v>458</v>
      </c>
      <c r="F103" s="22">
        <v>85</v>
      </c>
      <c r="G103" s="4">
        <v>250</v>
      </c>
      <c r="H103" s="22">
        <v>1</v>
      </c>
      <c r="I103" s="22" t="s">
        <v>383</v>
      </c>
      <c r="J103" s="26">
        <v>63.4</v>
      </c>
      <c r="K103" s="60">
        <f t="shared" si="6"/>
        <v>7.8864353312302837</v>
      </c>
      <c r="L103" s="11">
        <f t="shared" si="7"/>
        <v>18.113564668769715</v>
      </c>
      <c r="M103" s="22">
        <v>1</v>
      </c>
      <c r="N103" s="37" t="s">
        <v>115</v>
      </c>
      <c r="O103" s="4" t="s">
        <v>539</v>
      </c>
      <c r="P103" s="22" t="s">
        <v>470</v>
      </c>
      <c r="Q103" s="12" t="s">
        <v>480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</row>
    <row r="104" spans="1:257" ht="16">
      <c r="A104" s="4">
        <v>86</v>
      </c>
      <c r="B104" s="4" t="s">
        <v>10</v>
      </c>
      <c r="C104" s="4">
        <v>4260</v>
      </c>
      <c r="D104" s="37" t="s">
        <v>473</v>
      </c>
      <c r="E104" s="37" t="s">
        <v>472</v>
      </c>
      <c r="F104" s="37" t="s">
        <v>495</v>
      </c>
      <c r="G104" s="37">
        <v>20</v>
      </c>
      <c r="H104" s="22">
        <v>1</v>
      </c>
      <c r="I104" s="22" t="s">
        <v>386</v>
      </c>
      <c r="J104" s="45">
        <v>61.2</v>
      </c>
      <c r="K104" s="60">
        <f t="shared" si="6"/>
        <v>8.1699346405228752</v>
      </c>
      <c r="L104" s="11">
        <f t="shared" si="7"/>
        <v>17.830065359477125</v>
      </c>
      <c r="M104" s="22">
        <v>1</v>
      </c>
      <c r="N104" s="37" t="s">
        <v>279</v>
      </c>
      <c r="O104" s="37" t="s">
        <v>539</v>
      </c>
      <c r="P104" s="44" t="s">
        <v>469</v>
      </c>
      <c r="Q104" s="48" t="s">
        <v>480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</row>
    <row r="105" spans="1:257" ht="16">
      <c r="A105" s="4">
        <v>86</v>
      </c>
      <c r="B105" s="4" t="s">
        <v>362</v>
      </c>
      <c r="C105" s="4">
        <v>1229</v>
      </c>
      <c r="D105" s="22" t="s">
        <v>458</v>
      </c>
      <c r="E105" s="38" t="s">
        <v>458</v>
      </c>
      <c r="F105" s="38">
        <v>86</v>
      </c>
      <c r="G105" s="39">
        <v>250</v>
      </c>
      <c r="H105" s="22">
        <v>1</v>
      </c>
      <c r="I105" s="22" t="s">
        <v>310</v>
      </c>
      <c r="J105" s="40">
        <v>57.8</v>
      </c>
      <c r="K105" s="60">
        <f t="shared" si="6"/>
        <v>8.6505190311418687</v>
      </c>
      <c r="L105" s="11">
        <f t="shared" si="7"/>
        <v>17.349480968858131</v>
      </c>
      <c r="M105" s="22">
        <v>1</v>
      </c>
      <c r="N105" s="37" t="s">
        <v>527</v>
      </c>
      <c r="O105" s="39" t="s">
        <v>539</v>
      </c>
      <c r="P105" s="38" t="s">
        <v>470</v>
      </c>
      <c r="Q105" s="12" t="s">
        <v>480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</row>
    <row r="106" spans="1:257" ht="16">
      <c r="A106" s="4">
        <v>87</v>
      </c>
      <c r="B106" s="4" t="s">
        <v>10</v>
      </c>
      <c r="C106" s="4">
        <v>4259</v>
      </c>
      <c r="D106" s="22" t="s">
        <v>472</v>
      </c>
      <c r="E106" s="22" t="s">
        <v>0</v>
      </c>
      <c r="F106" s="22">
        <v>87</v>
      </c>
      <c r="G106" s="22">
        <v>95</v>
      </c>
      <c r="H106" s="22">
        <v>2</v>
      </c>
      <c r="I106" s="11" t="s">
        <v>94</v>
      </c>
      <c r="J106" s="26">
        <v>33.200000000000003</v>
      </c>
      <c r="K106" s="60">
        <f t="shared" si="6"/>
        <v>15.060240963855421</v>
      </c>
      <c r="L106" s="11">
        <f t="shared" si="7"/>
        <v>10.939759036144579</v>
      </c>
      <c r="M106" s="22">
        <v>2</v>
      </c>
      <c r="N106" s="11" t="s">
        <v>127</v>
      </c>
      <c r="O106" s="4" t="s">
        <v>539</v>
      </c>
      <c r="P106" s="22" t="s">
        <v>469</v>
      </c>
      <c r="Q106" s="12" t="s">
        <v>480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</row>
    <row r="107" spans="1:257" ht="16">
      <c r="A107" s="22">
        <v>88</v>
      </c>
      <c r="B107" s="4" t="s">
        <v>10</v>
      </c>
      <c r="C107" s="4">
        <v>1845</v>
      </c>
      <c r="D107" s="22" t="s">
        <v>473</v>
      </c>
      <c r="E107" s="22" t="s">
        <v>0</v>
      </c>
      <c r="F107" s="22">
        <v>88</v>
      </c>
      <c r="G107" s="22" t="s">
        <v>492</v>
      </c>
      <c r="H107" s="22">
        <v>1</v>
      </c>
      <c r="I107" s="22" t="s">
        <v>26</v>
      </c>
      <c r="J107" s="26">
        <v>48.6</v>
      </c>
      <c r="K107" s="60">
        <f t="shared" si="6"/>
        <v>10.288065843621398</v>
      </c>
      <c r="L107" s="11">
        <f t="shared" si="7"/>
        <v>15.711934156378602</v>
      </c>
      <c r="M107" s="22">
        <v>1</v>
      </c>
      <c r="N107" s="70" t="s">
        <v>529</v>
      </c>
      <c r="O107" s="22" t="s">
        <v>539</v>
      </c>
      <c r="P107" s="22" t="s">
        <v>469</v>
      </c>
      <c r="Q107" s="12" t="s">
        <v>480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</row>
    <row r="108" spans="1:257" ht="16">
      <c r="A108" s="4">
        <v>89</v>
      </c>
      <c r="B108" s="4" t="s">
        <v>357</v>
      </c>
      <c r="C108" s="4">
        <v>363</v>
      </c>
      <c r="D108" s="22" t="s">
        <v>473</v>
      </c>
      <c r="E108" s="22" t="s">
        <v>473</v>
      </c>
      <c r="F108" s="22">
        <v>89</v>
      </c>
      <c r="G108" s="22">
        <v>40</v>
      </c>
      <c r="H108" s="22">
        <v>1</v>
      </c>
      <c r="I108" s="22" t="s">
        <v>115</v>
      </c>
      <c r="J108" s="26">
        <v>76.400000000000006</v>
      </c>
      <c r="K108" s="60">
        <f t="shared" si="6"/>
        <v>6.5445026178010464</v>
      </c>
      <c r="L108" s="11">
        <f t="shared" si="7"/>
        <v>19.455497382198953</v>
      </c>
      <c r="M108" s="22">
        <v>1</v>
      </c>
      <c r="N108" s="37" t="s">
        <v>219</v>
      </c>
      <c r="O108" s="4" t="s">
        <v>539</v>
      </c>
      <c r="P108" s="22" t="s">
        <v>470</v>
      </c>
      <c r="Q108" s="12" t="s">
        <v>480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</row>
    <row r="109" spans="1:257" ht="16">
      <c r="A109" s="4">
        <v>91</v>
      </c>
      <c r="B109" s="4" t="s">
        <v>54</v>
      </c>
      <c r="C109" s="4">
        <v>574</v>
      </c>
      <c r="D109" s="22" t="s">
        <v>473</v>
      </c>
      <c r="E109" s="22" t="s">
        <v>472</v>
      </c>
      <c r="F109" s="22">
        <v>91</v>
      </c>
      <c r="G109" s="4"/>
      <c r="H109" s="22">
        <v>1</v>
      </c>
      <c r="I109" s="22" t="s">
        <v>153</v>
      </c>
      <c r="J109" s="26">
        <v>102</v>
      </c>
      <c r="K109" s="60">
        <f t="shared" si="6"/>
        <v>4.9019607843137258</v>
      </c>
      <c r="L109" s="11">
        <f t="shared" si="7"/>
        <v>21.098039215686274</v>
      </c>
      <c r="M109" s="22">
        <v>1</v>
      </c>
      <c r="N109" s="22" t="s">
        <v>364</v>
      </c>
      <c r="O109" s="4" t="s">
        <v>539</v>
      </c>
      <c r="P109" s="22" t="s">
        <v>469</v>
      </c>
      <c r="Q109" s="12" t="s">
        <v>480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</row>
    <row r="110" spans="1:257" ht="16">
      <c r="A110" s="4">
        <v>92</v>
      </c>
      <c r="B110" s="4" t="s">
        <v>10</v>
      </c>
      <c r="C110" s="4">
        <v>1630</v>
      </c>
      <c r="D110" s="22" t="s">
        <v>458</v>
      </c>
      <c r="E110" s="22" t="s">
        <v>0</v>
      </c>
      <c r="F110" s="22">
        <v>92</v>
      </c>
      <c r="G110" s="4"/>
      <c r="H110" s="22">
        <v>2</v>
      </c>
      <c r="I110" s="22" t="s">
        <v>379</v>
      </c>
      <c r="J110" s="26">
        <v>23.4</v>
      </c>
      <c r="K110" s="60">
        <f t="shared" si="6"/>
        <v>21.36752136752137</v>
      </c>
      <c r="L110" s="11">
        <f t="shared" si="7"/>
        <v>4.6324786324786302</v>
      </c>
      <c r="M110" s="22">
        <v>2</v>
      </c>
      <c r="N110" s="22" t="s">
        <v>371</v>
      </c>
      <c r="O110" s="4" t="s">
        <v>539</v>
      </c>
      <c r="P110" s="22" t="s">
        <v>469</v>
      </c>
      <c r="Q110" s="12" t="s">
        <v>480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</row>
    <row r="111" spans="1:257" ht="16">
      <c r="A111" s="22">
        <v>93</v>
      </c>
      <c r="B111" s="4" t="s">
        <v>10</v>
      </c>
      <c r="C111" s="4">
        <v>1325</v>
      </c>
      <c r="D111" s="4" t="s">
        <v>458</v>
      </c>
      <c r="E111" s="4" t="s">
        <v>472</v>
      </c>
      <c r="F111" s="4">
        <v>93</v>
      </c>
      <c r="G111" s="4"/>
      <c r="H111" s="22">
        <v>1</v>
      </c>
      <c r="I111" s="22" t="s">
        <v>186</v>
      </c>
      <c r="J111" s="26">
        <v>51.2</v>
      </c>
      <c r="K111" s="60">
        <f t="shared" si="6"/>
        <v>9.765625</v>
      </c>
      <c r="L111" s="11">
        <f t="shared" si="7"/>
        <v>16.234375</v>
      </c>
      <c r="M111" s="22">
        <v>1</v>
      </c>
      <c r="N111" s="37" t="s">
        <v>382</v>
      </c>
      <c r="O111" s="4" t="s">
        <v>539</v>
      </c>
      <c r="P111" s="22" t="s">
        <v>469</v>
      </c>
      <c r="Q111" s="12" t="s">
        <v>480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</row>
    <row r="112" spans="1:257" ht="16">
      <c r="A112" s="4">
        <v>94</v>
      </c>
      <c r="B112" s="4" t="s">
        <v>20</v>
      </c>
      <c r="C112" s="4">
        <v>2140</v>
      </c>
      <c r="D112" s="4" t="s">
        <v>473</v>
      </c>
      <c r="E112" s="4" t="s">
        <v>458</v>
      </c>
      <c r="F112" s="4" t="s">
        <v>489</v>
      </c>
      <c r="G112" s="4">
        <v>98</v>
      </c>
      <c r="H112" s="22">
        <v>1</v>
      </c>
      <c r="I112" s="22" t="s">
        <v>382</v>
      </c>
      <c r="J112" s="26">
        <v>64.2</v>
      </c>
      <c r="K112" s="60">
        <f t="shared" si="6"/>
        <v>7.7881619937694699</v>
      </c>
      <c r="L112" s="11">
        <f t="shared" si="7"/>
        <v>18.211838006230529</v>
      </c>
      <c r="M112" s="22">
        <v>1</v>
      </c>
      <c r="N112" s="37" t="s">
        <v>238</v>
      </c>
      <c r="O112" s="4" t="s">
        <v>539</v>
      </c>
      <c r="P112" s="22" t="s">
        <v>470</v>
      </c>
      <c r="Q112" s="47" t="s">
        <v>480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</row>
    <row r="113" spans="1:257" ht="16">
      <c r="A113" s="4">
        <v>95</v>
      </c>
      <c r="B113" s="4" t="s">
        <v>10</v>
      </c>
      <c r="C113" s="4">
        <v>2609</v>
      </c>
      <c r="D113" s="4" t="s">
        <v>473</v>
      </c>
      <c r="E113" s="4" t="s">
        <v>472</v>
      </c>
      <c r="F113" s="22" t="s">
        <v>495</v>
      </c>
      <c r="G113" s="4">
        <v>99</v>
      </c>
      <c r="H113" s="22">
        <v>2</v>
      </c>
      <c r="I113" s="22" t="s">
        <v>314</v>
      </c>
      <c r="J113" s="26">
        <v>42.4</v>
      </c>
      <c r="K113" s="60">
        <f t="shared" si="6"/>
        <v>11.79245283018868</v>
      </c>
      <c r="L113" s="11">
        <f t="shared" si="7"/>
        <v>14.20754716981132</v>
      </c>
      <c r="M113" s="22">
        <v>1</v>
      </c>
      <c r="N113" s="37" t="s">
        <v>531</v>
      </c>
      <c r="O113" s="22" t="s">
        <v>539</v>
      </c>
      <c r="P113" s="22" t="s">
        <v>470</v>
      </c>
      <c r="Q113" s="12" t="s">
        <v>480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</row>
    <row r="114" spans="1:257" ht="16">
      <c r="A114" s="22">
        <v>96</v>
      </c>
      <c r="B114" s="4" t="s">
        <v>10</v>
      </c>
      <c r="C114" s="4">
        <v>1498</v>
      </c>
      <c r="D114" s="4" t="s">
        <v>473</v>
      </c>
      <c r="E114" s="4" t="s">
        <v>472</v>
      </c>
      <c r="F114" s="4">
        <v>96</v>
      </c>
      <c r="G114" s="4"/>
      <c r="H114" s="22">
        <v>1</v>
      </c>
      <c r="I114" s="22" t="s">
        <v>314</v>
      </c>
      <c r="J114" s="26">
        <v>118</v>
      </c>
      <c r="K114" s="60">
        <f t="shared" si="6"/>
        <v>4.2372881355932206</v>
      </c>
      <c r="L114" s="11">
        <f t="shared" si="7"/>
        <v>21.762711864406779</v>
      </c>
      <c r="M114" s="22">
        <v>1</v>
      </c>
      <c r="N114" s="22" t="s">
        <v>314</v>
      </c>
      <c r="O114" s="4"/>
      <c r="P114" s="22" t="s">
        <v>469</v>
      </c>
      <c r="Q114" s="12" t="s">
        <v>480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</row>
    <row r="115" spans="1:257" ht="16">
      <c r="A115" s="4">
        <v>97</v>
      </c>
      <c r="B115" s="4" t="s">
        <v>10</v>
      </c>
      <c r="C115" s="27">
        <v>1512</v>
      </c>
      <c r="D115" s="4" t="s">
        <v>472</v>
      </c>
      <c r="E115" s="4" t="s">
        <v>472</v>
      </c>
      <c r="F115" s="4">
        <v>97</v>
      </c>
      <c r="G115" s="4">
        <v>30</v>
      </c>
      <c r="H115" s="22">
        <v>2</v>
      </c>
      <c r="I115" s="22" t="s">
        <v>263</v>
      </c>
      <c r="J115" s="26">
        <v>30.2</v>
      </c>
      <c r="K115" s="60">
        <f t="shared" si="6"/>
        <v>16.556291390728479</v>
      </c>
      <c r="L115" s="11">
        <f t="shared" si="7"/>
        <v>9.4437086092715212</v>
      </c>
      <c r="M115" s="22">
        <v>2</v>
      </c>
      <c r="N115" s="22" t="s">
        <v>64</v>
      </c>
      <c r="O115" s="4" t="s">
        <v>539</v>
      </c>
      <c r="P115" s="4" t="s">
        <v>469</v>
      </c>
      <c r="Q115" s="12" t="s">
        <v>480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</row>
    <row r="116" spans="1:257" ht="16">
      <c r="A116" s="4">
        <v>98</v>
      </c>
      <c r="B116" s="4" t="s">
        <v>20</v>
      </c>
      <c r="C116" s="4">
        <v>2030</v>
      </c>
      <c r="D116" s="4" t="s">
        <v>473</v>
      </c>
      <c r="E116" s="4" t="s">
        <v>472</v>
      </c>
      <c r="F116" s="4">
        <v>98</v>
      </c>
      <c r="G116" s="4">
        <v>100</v>
      </c>
      <c r="H116" s="22">
        <v>2</v>
      </c>
      <c r="I116" s="22" t="s">
        <v>328</v>
      </c>
      <c r="J116" s="26">
        <v>41.2</v>
      </c>
      <c r="K116" s="60">
        <f t="shared" si="6"/>
        <v>12.135922330097086</v>
      </c>
      <c r="L116" s="11">
        <f t="shared" si="7"/>
        <v>13.864077669902914</v>
      </c>
      <c r="M116" s="22">
        <v>1</v>
      </c>
      <c r="N116" s="37" t="s">
        <v>175</v>
      </c>
      <c r="O116" s="22" t="s">
        <v>539</v>
      </c>
      <c r="P116" s="4" t="s">
        <v>469</v>
      </c>
      <c r="Q116" s="12" t="s">
        <v>480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</row>
    <row r="117" spans="1:257" ht="16">
      <c r="A117" s="22">
        <v>99</v>
      </c>
      <c r="B117" s="4" t="s">
        <v>248</v>
      </c>
      <c r="C117" s="4">
        <v>23305</v>
      </c>
      <c r="D117" s="4" t="s">
        <v>473</v>
      </c>
      <c r="E117" s="4" t="s">
        <v>472</v>
      </c>
      <c r="F117" s="4" t="s">
        <v>489</v>
      </c>
      <c r="G117" s="4">
        <v>160</v>
      </c>
      <c r="H117" s="22">
        <v>1</v>
      </c>
      <c r="I117" s="22" t="s">
        <v>103</v>
      </c>
      <c r="J117" s="26">
        <v>43.4</v>
      </c>
      <c r="K117" s="60">
        <f t="shared" si="6"/>
        <v>11.520737327188941</v>
      </c>
      <c r="L117" s="11">
        <f t="shared" si="7"/>
        <v>14.479262672811059</v>
      </c>
      <c r="M117" s="22">
        <v>1</v>
      </c>
      <c r="N117" s="37" t="s">
        <v>310</v>
      </c>
      <c r="O117" s="4" t="s">
        <v>539</v>
      </c>
      <c r="P117" s="22" t="s">
        <v>470</v>
      </c>
      <c r="Q117" s="47" t="s">
        <v>480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</row>
    <row r="118" spans="1:257" ht="16">
      <c r="A118" s="4">
        <v>101</v>
      </c>
      <c r="B118" s="4" t="s">
        <v>10</v>
      </c>
      <c r="C118" s="4">
        <v>1358</v>
      </c>
      <c r="D118" s="4" t="s">
        <v>473</v>
      </c>
      <c r="E118" s="4" t="s">
        <v>472</v>
      </c>
      <c r="F118" s="4">
        <v>101</v>
      </c>
      <c r="G118" s="4"/>
      <c r="H118" s="22">
        <v>1</v>
      </c>
      <c r="I118" s="22" t="s">
        <v>110</v>
      </c>
      <c r="J118" s="26">
        <v>116</v>
      </c>
      <c r="K118" s="60">
        <f t="shared" si="6"/>
        <v>4.3103448275862073</v>
      </c>
      <c r="L118" s="11">
        <f t="shared" si="7"/>
        <v>21.689655172413794</v>
      </c>
      <c r="M118" s="22">
        <v>1</v>
      </c>
      <c r="N118" s="22" t="s">
        <v>110</v>
      </c>
      <c r="O118" s="4"/>
      <c r="P118" s="4" t="s">
        <v>469</v>
      </c>
      <c r="Q118" s="12" t="s">
        <v>480</v>
      </c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1:257" ht="16">
      <c r="A119" s="22">
        <v>102</v>
      </c>
      <c r="B119" s="4" t="s">
        <v>10</v>
      </c>
      <c r="C119" s="4">
        <v>1417</v>
      </c>
      <c r="D119" s="4" t="s">
        <v>473</v>
      </c>
      <c r="E119" s="4" t="s">
        <v>458</v>
      </c>
      <c r="F119" s="4">
        <v>102</v>
      </c>
      <c r="G119" s="4"/>
      <c r="H119" s="22">
        <v>1</v>
      </c>
      <c r="I119" s="22" t="s">
        <v>38</v>
      </c>
      <c r="J119" s="26">
        <v>104</v>
      </c>
      <c r="K119" s="60">
        <f t="shared" si="6"/>
        <v>4.8076923076923075</v>
      </c>
      <c r="L119" s="11">
        <f t="shared" si="7"/>
        <v>21.192307692307693</v>
      </c>
      <c r="M119" s="22">
        <v>1</v>
      </c>
      <c r="N119" s="22" t="s">
        <v>55</v>
      </c>
      <c r="O119" s="4" t="s">
        <v>539</v>
      </c>
      <c r="P119" s="4" t="s">
        <v>470</v>
      </c>
      <c r="Q119" s="12" t="s">
        <v>480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</row>
    <row r="120" spans="1:257" ht="16">
      <c r="A120" s="4">
        <v>103</v>
      </c>
      <c r="B120" s="4" t="s">
        <v>416</v>
      </c>
      <c r="C120" s="4">
        <v>5</v>
      </c>
      <c r="D120" s="4" t="s">
        <v>472</v>
      </c>
      <c r="E120" s="4" t="s">
        <v>473</v>
      </c>
      <c r="F120" s="4">
        <v>103</v>
      </c>
      <c r="G120" s="4"/>
      <c r="H120" s="22">
        <v>1</v>
      </c>
      <c r="I120" s="22" t="s">
        <v>19</v>
      </c>
      <c r="J120" s="26">
        <v>116</v>
      </c>
      <c r="K120" s="60">
        <f t="shared" si="6"/>
        <v>4.3103448275862073</v>
      </c>
      <c r="L120" s="11">
        <f t="shared" si="7"/>
        <v>21.689655172413794</v>
      </c>
      <c r="M120" s="22">
        <v>1</v>
      </c>
      <c r="N120" s="22" t="s">
        <v>19</v>
      </c>
      <c r="O120" s="4"/>
      <c r="P120" s="22" t="s">
        <v>470</v>
      </c>
      <c r="Q120" s="12" t="s">
        <v>480</v>
      </c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1:257" ht="16">
      <c r="A121" s="22">
        <v>105</v>
      </c>
      <c r="B121" s="4" t="s">
        <v>10</v>
      </c>
      <c r="C121" s="4">
        <v>1897</v>
      </c>
      <c r="D121" s="4" t="s">
        <v>473</v>
      </c>
      <c r="E121" s="4" t="s">
        <v>458</v>
      </c>
      <c r="F121" s="4" t="s">
        <v>489</v>
      </c>
      <c r="G121" s="4">
        <v>125</v>
      </c>
      <c r="H121" s="22">
        <v>1</v>
      </c>
      <c r="I121" s="22" t="s">
        <v>384</v>
      </c>
      <c r="J121" s="26">
        <v>62</v>
      </c>
      <c r="K121" s="60">
        <f t="shared" si="6"/>
        <v>8.064516129032258</v>
      </c>
      <c r="L121" s="11">
        <f t="shared" si="7"/>
        <v>17.935483870967744</v>
      </c>
      <c r="M121" s="22">
        <v>1</v>
      </c>
      <c r="N121" s="37" t="s">
        <v>100</v>
      </c>
      <c r="O121" s="4" t="s">
        <v>539</v>
      </c>
      <c r="P121" s="22" t="s">
        <v>470</v>
      </c>
      <c r="Q121" s="47" t="s">
        <v>480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</row>
    <row r="122" spans="1:257" ht="16">
      <c r="A122" s="4">
        <v>106</v>
      </c>
      <c r="B122" s="4" t="s">
        <v>20</v>
      </c>
      <c r="C122" s="4">
        <v>2032</v>
      </c>
      <c r="D122" s="4" t="s">
        <v>473</v>
      </c>
      <c r="E122" s="4" t="s">
        <v>473</v>
      </c>
      <c r="F122" s="4">
        <v>106</v>
      </c>
      <c r="G122" s="4"/>
      <c r="H122" s="22">
        <v>1</v>
      </c>
      <c r="I122" s="22" t="s">
        <v>50</v>
      </c>
      <c r="J122" s="26">
        <v>98.6</v>
      </c>
      <c r="K122" s="60">
        <f t="shared" si="6"/>
        <v>5.0709939148073024</v>
      </c>
      <c r="L122" s="11">
        <f t="shared" si="7"/>
        <v>20.929006085192697</v>
      </c>
      <c r="M122" s="22">
        <v>1</v>
      </c>
      <c r="N122" s="11" t="s">
        <v>517</v>
      </c>
      <c r="O122" s="4" t="s">
        <v>539</v>
      </c>
      <c r="P122" s="4" t="s">
        <v>470</v>
      </c>
      <c r="Q122" s="12" t="s">
        <v>480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</row>
    <row r="123" spans="1:257" ht="16">
      <c r="A123" s="4">
        <v>107</v>
      </c>
      <c r="B123" s="4" t="s">
        <v>10</v>
      </c>
      <c r="C123" s="4">
        <v>1454</v>
      </c>
      <c r="D123" s="4" t="s">
        <v>473</v>
      </c>
      <c r="E123" s="4" t="s">
        <v>472</v>
      </c>
      <c r="F123" s="4">
        <v>107</v>
      </c>
      <c r="G123" s="4"/>
      <c r="H123" s="22">
        <v>1</v>
      </c>
      <c r="I123" s="22" t="s">
        <v>275</v>
      </c>
      <c r="J123" s="26">
        <v>100</v>
      </c>
      <c r="K123" s="60">
        <f t="shared" si="6"/>
        <v>5</v>
      </c>
      <c r="L123" s="11">
        <f t="shared" si="7"/>
        <v>21</v>
      </c>
      <c r="M123" s="22">
        <v>1</v>
      </c>
      <c r="N123" s="22" t="s">
        <v>243</v>
      </c>
      <c r="O123" s="4" t="s">
        <v>539</v>
      </c>
      <c r="P123" s="4" t="s">
        <v>470</v>
      </c>
      <c r="Q123" s="12" t="s">
        <v>480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</row>
    <row r="124" spans="1:257" ht="16">
      <c r="A124" s="4">
        <v>108</v>
      </c>
      <c r="B124" s="4" t="s">
        <v>161</v>
      </c>
      <c r="C124" s="4">
        <v>252</v>
      </c>
      <c r="D124" s="4" t="s">
        <v>458</v>
      </c>
      <c r="E124" s="4" t="s">
        <v>472</v>
      </c>
      <c r="F124" s="4">
        <v>108</v>
      </c>
      <c r="G124" s="4"/>
      <c r="H124" s="22">
        <v>2</v>
      </c>
      <c r="I124" s="22" t="s">
        <v>50</v>
      </c>
      <c r="J124" s="26">
        <v>34.6</v>
      </c>
      <c r="K124" s="60">
        <f t="shared" si="6"/>
        <v>14.450867052023121</v>
      </c>
      <c r="L124" s="11">
        <f t="shared" si="7"/>
        <v>11.549132947976879</v>
      </c>
      <c r="M124" s="22">
        <v>2</v>
      </c>
      <c r="N124" s="22" t="s">
        <v>364</v>
      </c>
      <c r="O124" s="4" t="s">
        <v>539</v>
      </c>
      <c r="P124" s="4" t="s">
        <v>469</v>
      </c>
      <c r="Q124" s="12" t="s">
        <v>480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</row>
    <row r="125" spans="1:257" ht="16">
      <c r="A125" s="4">
        <v>109</v>
      </c>
      <c r="B125" s="4" t="s">
        <v>421</v>
      </c>
      <c r="C125" s="4">
        <v>36</v>
      </c>
      <c r="D125" s="4" t="s">
        <v>458</v>
      </c>
      <c r="E125" s="4" t="s">
        <v>472</v>
      </c>
      <c r="F125" s="4">
        <v>109</v>
      </c>
      <c r="G125" s="4"/>
      <c r="H125" s="22">
        <v>1</v>
      </c>
      <c r="I125" s="22" t="s">
        <v>385</v>
      </c>
      <c r="J125" s="26">
        <v>61.8</v>
      </c>
      <c r="K125" s="60">
        <f t="shared" si="6"/>
        <v>8.0906148867313927</v>
      </c>
      <c r="L125" s="11">
        <f t="shared" si="7"/>
        <v>17.909385113268605</v>
      </c>
      <c r="M125" s="22">
        <v>1</v>
      </c>
      <c r="N125" s="37" t="s">
        <v>156</v>
      </c>
      <c r="O125" s="4" t="s">
        <v>539</v>
      </c>
      <c r="P125" s="4" t="s">
        <v>469</v>
      </c>
      <c r="Q125" s="12" t="s">
        <v>480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</row>
    <row r="126" spans="1:257" ht="16">
      <c r="A126" s="4">
        <v>110</v>
      </c>
      <c r="B126" s="4" t="s">
        <v>421</v>
      </c>
      <c r="C126" s="4">
        <v>57</v>
      </c>
      <c r="D126" s="4" t="s">
        <v>473</v>
      </c>
      <c r="E126" s="4" t="s">
        <v>473</v>
      </c>
      <c r="F126" s="4">
        <v>110</v>
      </c>
      <c r="G126" s="4"/>
      <c r="H126" s="22">
        <v>1</v>
      </c>
      <c r="I126" s="22" t="s">
        <v>60</v>
      </c>
      <c r="J126" s="26">
        <v>94</v>
      </c>
      <c r="K126" s="60">
        <f t="shared" si="6"/>
        <v>5.3191489361702127</v>
      </c>
      <c r="L126" s="11">
        <f t="shared" si="7"/>
        <v>20.680851063829788</v>
      </c>
      <c r="M126" s="22">
        <v>1</v>
      </c>
      <c r="N126" s="22" t="s">
        <v>518</v>
      </c>
      <c r="O126" s="4" t="s">
        <v>539</v>
      </c>
      <c r="P126" s="4" t="s">
        <v>470</v>
      </c>
      <c r="Q126" s="12" t="s">
        <v>480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</row>
    <row r="127" spans="1:257" ht="16">
      <c r="A127" s="4">
        <v>111</v>
      </c>
      <c r="B127" s="4" t="s">
        <v>421</v>
      </c>
      <c r="C127" s="4">
        <v>28</v>
      </c>
      <c r="D127" s="4" t="s">
        <v>473</v>
      </c>
      <c r="E127" s="4" t="s">
        <v>458</v>
      </c>
      <c r="F127" s="4">
        <v>111</v>
      </c>
      <c r="G127" s="4"/>
      <c r="H127" s="22">
        <v>1</v>
      </c>
      <c r="I127" s="22" t="s">
        <v>363</v>
      </c>
      <c r="J127" s="26">
        <v>118</v>
      </c>
      <c r="K127" s="60">
        <f t="shared" si="6"/>
        <v>4.2372881355932206</v>
      </c>
      <c r="L127" s="11">
        <f t="shared" si="7"/>
        <v>21.762711864406779</v>
      </c>
      <c r="M127" s="22">
        <v>1</v>
      </c>
      <c r="N127" s="22" t="s">
        <v>363</v>
      </c>
      <c r="O127" s="4"/>
      <c r="P127" s="4" t="s">
        <v>470</v>
      </c>
      <c r="Q127" s="12" t="s">
        <v>480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</row>
    <row r="128" spans="1:257" ht="16">
      <c r="A128" s="4">
        <v>112</v>
      </c>
      <c r="B128" s="4" t="s">
        <v>426</v>
      </c>
      <c r="C128" s="4">
        <v>266</v>
      </c>
      <c r="D128" s="4" t="s">
        <v>473</v>
      </c>
      <c r="E128" s="4" t="s">
        <v>472</v>
      </c>
      <c r="F128" s="4">
        <v>112</v>
      </c>
      <c r="G128" s="4"/>
      <c r="H128" s="22">
        <v>1</v>
      </c>
      <c r="I128" s="11" t="s">
        <v>95</v>
      </c>
      <c r="J128" s="26">
        <v>90.2</v>
      </c>
      <c r="K128" s="60">
        <f t="shared" si="6"/>
        <v>5.5432372505543235</v>
      </c>
      <c r="L128" s="11">
        <f t="shared" si="7"/>
        <v>20.456762749445677</v>
      </c>
      <c r="M128" s="22">
        <v>1</v>
      </c>
      <c r="N128" s="37" t="s">
        <v>127</v>
      </c>
      <c r="O128" s="4" t="s">
        <v>539</v>
      </c>
      <c r="P128" s="22" t="s">
        <v>469</v>
      </c>
      <c r="Q128" s="12" t="s">
        <v>480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</row>
    <row r="129" spans="1:257" ht="16">
      <c r="A129" s="4">
        <v>113</v>
      </c>
      <c r="B129" s="4" t="s">
        <v>421</v>
      </c>
      <c r="C129" s="4">
        <v>25</v>
      </c>
      <c r="D129" s="4" t="s">
        <v>473</v>
      </c>
      <c r="E129" s="4" t="s">
        <v>472</v>
      </c>
      <c r="F129" s="4">
        <v>113</v>
      </c>
      <c r="G129" s="4"/>
      <c r="H129" s="22">
        <v>1</v>
      </c>
      <c r="I129" s="22" t="s">
        <v>376</v>
      </c>
      <c r="J129" s="26">
        <v>102</v>
      </c>
      <c r="K129" s="60">
        <f t="shared" si="6"/>
        <v>4.9019607843137258</v>
      </c>
      <c r="L129" s="11">
        <f t="shared" si="7"/>
        <v>21.098039215686274</v>
      </c>
      <c r="M129" s="22">
        <v>1</v>
      </c>
      <c r="N129" s="22" t="s">
        <v>301</v>
      </c>
      <c r="O129" s="4" t="s">
        <v>539</v>
      </c>
      <c r="P129" s="4" t="s">
        <v>469</v>
      </c>
      <c r="Q129" s="12" t="s">
        <v>480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</row>
    <row r="130" spans="1:257" ht="16">
      <c r="A130" s="4">
        <v>114</v>
      </c>
      <c r="B130" s="4" t="s">
        <v>429</v>
      </c>
      <c r="C130" s="4">
        <v>374</v>
      </c>
      <c r="D130" s="4" t="s">
        <v>473</v>
      </c>
      <c r="E130" s="39" t="s">
        <v>473</v>
      </c>
      <c r="F130" s="39">
        <v>114</v>
      </c>
      <c r="G130" s="39">
        <v>200</v>
      </c>
      <c r="H130" s="22">
        <v>2</v>
      </c>
      <c r="I130" s="22" t="s">
        <v>346</v>
      </c>
      <c r="J130" s="40">
        <v>35</v>
      </c>
      <c r="K130" s="60">
        <f t="shared" si="6"/>
        <v>14.285714285714286</v>
      </c>
      <c r="L130" s="11">
        <f t="shared" ref="L130:L161" si="8">26-K130</f>
        <v>11.714285714285714</v>
      </c>
      <c r="M130" s="22">
        <v>2</v>
      </c>
      <c r="N130" s="22" t="s">
        <v>55</v>
      </c>
      <c r="O130" s="38" t="s">
        <v>539</v>
      </c>
      <c r="P130" s="39" t="s">
        <v>470</v>
      </c>
      <c r="Q130" s="49" t="s">
        <v>480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</row>
    <row r="131" spans="1:257" ht="16">
      <c r="A131" s="4">
        <v>115</v>
      </c>
      <c r="B131" s="4" t="s">
        <v>431</v>
      </c>
      <c r="C131" s="4">
        <v>202</v>
      </c>
      <c r="D131" s="4" t="s">
        <v>458</v>
      </c>
      <c r="E131" s="39" t="s">
        <v>458</v>
      </c>
      <c r="F131" s="39">
        <v>115</v>
      </c>
      <c r="G131" s="39"/>
      <c r="H131" s="22">
        <v>2</v>
      </c>
      <c r="I131" s="22" t="s">
        <v>38</v>
      </c>
      <c r="J131" s="40">
        <v>38.4</v>
      </c>
      <c r="K131" s="60">
        <f t="shared" si="6"/>
        <v>13.020833333333334</v>
      </c>
      <c r="L131" s="11">
        <f t="shared" si="8"/>
        <v>12.979166666666666</v>
      </c>
      <c r="M131" s="22">
        <v>1</v>
      </c>
      <c r="N131" s="70" t="s">
        <v>535</v>
      </c>
      <c r="O131" s="39" t="s">
        <v>539</v>
      </c>
      <c r="P131" s="39" t="s">
        <v>470</v>
      </c>
      <c r="Q131" s="12" t="s">
        <v>480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</row>
    <row r="132" spans="1:257" ht="16">
      <c r="A132" s="4">
        <v>116</v>
      </c>
      <c r="B132" s="4" t="s">
        <v>434</v>
      </c>
      <c r="C132" s="4">
        <v>11</v>
      </c>
      <c r="D132" s="4" t="s">
        <v>473</v>
      </c>
      <c r="E132" s="4" t="s">
        <v>473</v>
      </c>
      <c r="F132" s="4">
        <v>116</v>
      </c>
      <c r="G132" s="4"/>
      <c r="H132" s="22">
        <v>1</v>
      </c>
      <c r="I132" s="22" t="s">
        <v>243</v>
      </c>
      <c r="J132" s="26">
        <v>102</v>
      </c>
      <c r="K132" s="60">
        <f t="shared" si="6"/>
        <v>4.9019607843137258</v>
      </c>
      <c r="L132" s="11">
        <f t="shared" si="8"/>
        <v>21.098039215686274</v>
      </c>
      <c r="M132" s="22">
        <v>1</v>
      </c>
      <c r="N132" s="22" t="s">
        <v>38</v>
      </c>
      <c r="O132" s="4" t="s">
        <v>539</v>
      </c>
      <c r="P132" s="22" t="s">
        <v>470</v>
      </c>
      <c r="Q132" s="12" t="s">
        <v>480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</row>
    <row r="133" spans="1:257" ht="16">
      <c r="A133" s="4">
        <v>117</v>
      </c>
      <c r="B133" s="4" t="s">
        <v>438</v>
      </c>
      <c r="C133" s="4">
        <v>32</v>
      </c>
      <c r="D133" s="4" t="s">
        <v>473</v>
      </c>
      <c r="E133" s="39" t="s">
        <v>473</v>
      </c>
      <c r="F133" s="39">
        <v>117</v>
      </c>
      <c r="G133" s="39"/>
      <c r="H133" s="22">
        <v>1</v>
      </c>
      <c r="I133" s="22" t="s">
        <v>309</v>
      </c>
      <c r="J133" s="40">
        <v>93.4</v>
      </c>
      <c r="K133" s="60">
        <f t="shared" si="6"/>
        <v>5.3533190578158454</v>
      </c>
      <c r="L133" s="11">
        <f t="shared" si="8"/>
        <v>20.646680942184155</v>
      </c>
      <c r="M133" s="22">
        <v>1</v>
      </c>
      <c r="N133" s="37" t="s">
        <v>365</v>
      </c>
      <c r="O133" s="39" t="s">
        <v>539</v>
      </c>
      <c r="P133" s="38" t="s">
        <v>470</v>
      </c>
      <c r="Q133" s="12" t="s">
        <v>480</v>
      </c>
      <c r="R133" s="4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3"/>
      <c r="CO133" s="63"/>
      <c r="CP133" s="63"/>
      <c r="CQ133" s="63"/>
      <c r="CR133" s="63"/>
      <c r="CS133" s="63"/>
      <c r="CT133" s="63"/>
      <c r="CU133" s="63"/>
      <c r="CV133" s="63"/>
      <c r="CW133" s="63"/>
      <c r="CX133" s="63"/>
      <c r="CY133" s="63"/>
      <c r="CZ133" s="63"/>
      <c r="DA133" s="63"/>
      <c r="DB133" s="63"/>
      <c r="DC133" s="63"/>
      <c r="DD133" s="63"/>
      <c r="DE133" s="63"/>
      <c r="DF133" s="63"/>
      <c r="DG133" s="63"/>
      <c r="DH133" s="63"/>
      <c r="DI133" s="63"/>
      <c r="DJ133" s="63"/>
      <c r="DK133" s="63"/>
      <c r="DL133" s="63"/>
      <c r="DM133" s="63"/>
      <c r="DN133" s="63"/>
      <c r="DO133" s="63"/>
      <c r="DP133" s="63"/>
      <c r="DQ133" s="63"/>
      <c r="DR133" s="63"/>
      <c r="DS133" s="63"/>
      <c r="DT133" s="63"/>
      <c r="DU133" s="63"/>
      <c r="DV133" s="63"/>
      <c r="DW133" s="63"/>
      <c r="DX133" s="63"/>
      <c r="DY133" s="63"/>
      <c r="DZ133" s="63"/>
      <c r="EA133" s="63"/>
      <c r="EB133" s="63"/>
      <c r="EC133" s="63"/>
      <c r="ED133" s="63"/>
      <c r="EE133" s="63"/>
      <c r="EF133" s="63"/>
      <c r="EG133" s="63"/>
      <c r="EH133" s="63"/>
      <c r="EI133" s="63"/>
      <c r="EJ133" s="63"/>
      <c r="EK133" s="63"/>
      <c r="EL133" s="63"/>
      <c r="EM133" s="63"/>
      <c r="EN133" s="63"/>
      <c r="EO133" s="63"/>
      <c r="EP133" s="63"/>
      <c r="EQ133" s="63"/>
      <c r="ER133" s="63"/>
      <c r="ES133" s="63"/>
      <c r="ET133" s="63"/>
      <c r="EU133" s="63"/>
      <c r="EV133" s="63"/>
      <c r="EW133" s="63"/>
      <c r="EX133" s="63"/>
      <c r="EY133" s="63"/>
      <c r="EZ133" s="63"/>
      <c r="FA133" s="63"/>
      <c r="FB133" s="63"/>
      <c r="FC133" s="63"/>
      <c r="FD133" s="63"/>
      <c r="FE133" s="63"/>
      <c r="FF133" s="63"/>
      <c r="FG133" s="63"/>
      <c r="FH133" s="63"/>
      <c r="FI133" s="63"/>
      <c r="FJ133" s="63"/>
      <c r="FK133" s="63"/>
      <c r="FL133" s="63"/>
      <c r="FM133" s="63"/>
      <c r="FN133" s="63"/>
      <c r="FO133" s="63"/>
      <c r="FP133" s="63"/>
      <c r="FQ133" s="63"/>
      <c r="FR133" s="63"/>
      <c r="FS133" s="63"/>
      <c r="FT133" s="63"/>
      <c r="FU133" s="63"/>
      <c r="FV133" s="63"/>
      <c r="FW133" s="63"/>
      <c r="FX133" s="63"/>
      <c r="FY133" s="63"/>
      <c r="FZ133" s="63"/>
      <c r="GA133" s="63"/>
      <c r="GB133" s="63"/>
      <c r="GC133" s="63"/>
      <c r="GD133" s="63"/>
      <c r="GE133" s="63"/>
      <c r="GF133" s="63"/>
      <c r="GG133" s="63"/>
      <c r="GH133" s="63"/>
      <c r="GI133" s="63"/>
      <c r="GJ133" s="63"/>
      <c r="GK133" s="63"/>
      <c r="GL133" s="63"/>
      <c r="GM133" s="63"/>
      <c r="GN133" s="63"/>
      <c r="GO133" s="63"/>
      <c r="GP133" s="63"/>
      <c r="GQ133" s="63"/>
      <c r="GR133" s="63"/>
      <c r="GS133" s="63"/>
      <c r="GT133" s="63"/>
      <c r="GU133" s="63"/>
      <c r="GV133" s="63"/>
      <c r="GW133" s="63"/>
      <c r="GX133" s="63"/>
      <c r="GY133" s="63"/>
      <c r="GZ133" s="63"/>
      <c r="HA133" s="63"/>
      <c r="HB133" s="63"/>
      <c r="HC133" s="63"/>
      <c r="HD133" s="63"/>
      <c r="HE133" s="63"/>
      <c r="HF133" s="63"/>
      <c r="HG133" s="63"/>
      <c r="HH133" s="63"/>
      <c r="HI133" s="63"/>
      <c r="HJ133" s="63"/>
      <c r="HK133" s="63"/>
      <c r="HL133" s="63"/>
      <c r="HM133" s="63"/>
      <c r="HN133" s="63"/>
      <c r="HO133" s="63"/>
      <c r="HP133" s="63"/>
      <c r="HQ133" s="63"/>
      <c r="HR133" s="63"/>
      <c r="HS133" s="63"/>
      <c r="HT133" s="63"/>
      <c r="HU133" s="63"/>
      <c r="HV133" s="63"/>
      <c r="HW133" s="63"/>
      <c r="HX133" s="63"/>
      <c r="HY133" s="63"/>
      <c r="HZ133" s="63"/>
      <c r="IA133" s="63"/>
      <c r="IB133" s="63"/>
      <c r="IC133" s="63"/>
      <c r="ID133" s="63"/>
      <c r="IE133" s="63"/>
      <c r="IF133" s="63"/>
      <c r="IG133" s="63"/>
      <c r="IH133" s="63"/>
      <c r="II133" s="63"/>
      <c r="IJ133" s="63"/>
      <c r="IK133" s="63"/>
      <c r="IL133" s="63"/>
      <c r="IM133" s="63"/>
      <c r="IN133" s="63"/>
      <c r="IO133" s="63"/>
      <c r="IP133" s="63"/>
      <c r="IQ133" s="63"/>
      <c r="IR133" s="63"/>
      <c r="IS133" s="63"/>
      <c r="IT133" s="63"/>
      <c r="IU133" s="63"/>
      <c r="IV133" s="63"/>
      <c r="IW133" s="63"/>
    </row>
    <row r="134" spans="1:257" ht="16">
      <c r="A134" s="4">
        <v>118</v>
      </c>
      <c r="B134" s="4" t="s">
        <v>438</v>
      </c>
      <c r="C134" s="4">
        <v>46</v>
      </c>
      <c r="D134" s="4" t="s">
        <v>473</v>
      </c>
      <c r="E134" s="39" t="s">
        <v>458</v>
      </c>
      <c r="F134" s="39">
        <v>118</v>
      </c>
      <c r="G134" s="39"/>
      <c r="H134" s="22">
        <v>1</v>
      </c>
      <c r="I134" s="22" t="s">
        <v>364</v>
      </c>
      <c r="J134" s="40">
        <v>106</v>
      </c>
      <c r="K134" s="60">
        <f t="shared" si="6"/>
        <v>4.716981132075472</v>
      </c>
      <c r="L134" s="11">
        <f t="shared" si="8"/>
        <v>21.283018867924529</v>
      </c>
      <c r="M134" s="22">
        <v>1</v>
      </c>
      <c r="N134" s="22" t="s">
        <v>515</v>
      </c>
      <c r="O134" s="39"/>
      <c r="P134" s="38" t="s">
        <v>469</v>
      </c>
      <c r="Q134" s="12" t="s">
        <v>480</v>
      </c>
      <c r="R134" s="4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T134" s="63"/>
      <c r="CU134" s="63"/>
      <c r="CV134" s="63"/>
      <c r="CW134" s="63"/>
      <c r="CX134" s="63"/>
      <c r="CY134" s="63"/>
      <c r="CZ134" s="63"/>
      <c r="DA134" s="63"/>
      <c r="DB134" s="63"/>
      <c r="DC134" s="63"/>
      <c r="DD134" s="63"/>
      <c r="DE134" s="63"/>
      <c r="DF134" s="63"/>
      <c r="DG134" s="63"/>
      <c r="DH134" s="63"/>
      <c r="DI134" s="63"/>
      <c r="DJ134" s="63"/>
      <c r="DK134" s="63"/>
      <c r="DL134" s="63"/>
      <c r="DM134" s="63"/>
      <c r="DN134" s="63"/>
      <c r="DO134" s="63"/>
      <c r="DP134" s="63"/>
      <c r="DQ134" s="63"/>
      <c r="DR134" s="63"/>
      <c r="DS134" s="63"/>
      <c r="DT134" s="63"/>
      <c r="DU134" s="63"/>
      <c r="DV134" s="63"/>
      <c r="DW134" s="63"/>
      <c r="DX134" s="63"/>
      <c r="DY134" s="63"/>
      <c r="DZ134" s="63"/>
      <c r="EA134" s="63"/>
      <c r="EB134" s="63"/>
      <c r="EC134" s="63"/>
      <c r="ED134" s="63"/>
      <c r="EE134" s="63"/>
      <c r="EF134" s="63"/>
      <c r="EG134" s="63"/>
      <c r="EH134" s="63"/>
      <c r="EI134" s="63"/>
      <c r="EJ134" s="63"/>
      <c r="EK134" s="63"/>
      <c r="EL134" s="63"/>
      <c r="EM134" s="63"/>
      <c r="EN134" s="63"/>
      <c r="EO134" s="63"/>
      <c r="EP134" s="63"/>
      <c r="EQ134" s="63"/>
      <c r="ER134" s="63"/>
      <c r="ES134" s="63"/>
      <c r="ET134" s="63"/>
      <c r="EU134" s="63"/>
      <c r="EV134" s="63"/>
      <c r="EW134" s="63"/>
      <c r="EX134" s="63"/>
      <c r="EY134" s="63"/>
      <c r="EZ134" s="63"/>
      <c r="FA134" s="63"/>
      <c r="FB134" s="63"/>
      <c r="FC134" s="63"/>
      <c r="FD134" s="63"/>
      <c r="FE134" s="63"/>
      <c r="FF134" s="63"/>
      <c r="FG134" s="63"/>
      <c r="FH134" s="63"/>
      <c r="FI134" s="63"/>
      <c r="FJ134" s="63"/>
      <c r="FK134" s="63"/>
      <c r="FL134" s="63"/>
      <c r="FM134" s="63"/>
      <c r="FN134" s="63"/>
      <c r="FO134" s="63"/>
      <c r="FP134" s="63"/>
      <c r="FQ134" s="63"/>
      <c r="FR134" s="63"/>
      <c r="FS134" s="63"/>
      <c r="FT134" s="63"/>
      <c r="FU134" s="63"/>
      <c r="FV134" s="63"/>
      <c r="FW134" s="63"/>
      <c r="FX134" s="63"/>
      <c r="FY134" s="63"/>
      <c r="FZ134" s="63"/>
      <c r="GA134" s="63"/>
      <c r="GB134" s="63"/>
      <c r="GC134" s="63"/>
      <c r="GD134" s="63"/>
      <c r="GE134" s="63"/>
      <c r="GF134" s="63"/>
      <c r="GG134" s="63"/>
      <c r="GH134" s="63"/>
      <c r="GI134" s="63"/>
      <c r="GJ134" s="63"/>
      <c r="GK134" s="63"/>
      <c r="GL134" s="63"/>
      <c r="GM134" s="63"/>
      <c r="GN134" s="63"/>
      <c r="GO134" s="63"/>
      <c r="GP134" s="63"/>
      <c r="GQ134" s="63"/>
      <c r="GR134" s="63"/>
      <c r="GS134" s="63"/>
      <c r="GT134" s="63"/>
      <c r="GU134" s="63"/>
      <c r="GV134" s="63"/>
      <c r="GW134" s="63"/>
      <c r="GX134" s="63"/>
      <c r="GY134" s="63"/>
      <c r="GZ134" s="63"/>
      <c r="HA134" s="63"/>
      <c r="HB134" s="63"/>
      <c r="HC134" s="63"/>
      <c r="HD134" s="63"/>
      <c r="HE134" s="63"/>
      <c r="HF134" s="63"/>
      <c r="HG134" s="63"/>
      <c r="HH134" s="63"/>
      <c r="HI134" s="63"/>
      <c r="HJ134" s="63"/>
      <c r="HK134" s="63"/>
      <c r="HL134" s="63"/>
      <c r="HM134" s="63"/>
      <c r="HN134" s="63"/>
      <c r="HO134" s="63"/>
      <c r="HP134" s="63"/>
      <c r="HQ134" s="63"/>
      <c r="HR134" s="63"/>
      <c r="HS134" s="63"/>
      <c r="HT134" s="63"/>
      <c r="HU134" s="63"/>
      <c r="HV134" s="63"/>
      <c r="HW134" s="63"/>
      <c r="HX134" s="63"/>
      <c r="HY134" s="63"/>
      <c r="HZ134" s="63"/>
      <c r="IA134" s="63"/>
      <c r="IB134" s="63"/>
      <c r="IC134" s="63"/>
      <c r="ID134" s="63"/>
      <c r="IE134" s="63"/>
      <c r="IF134" s="63"/>
      <c r="IG134" s="63"/>
      <c r="IH134" s="63"/>
      <c r="II134" s="63"/>
      <c r="IJ134" s="63"/>
      <c r="IK134" s="63"/>
      <c r="IL134" s="63"/>
      <c r="IM134" s="63"/>
      <c r="IN134" s="63"/>
      <c r="IO134" s="63"/>
      <c r="IP134" s="63"/>
      <c r="IQ134" s="63"/>
      <c r="IR134" s="63"/>
      <c r="IS134" s="63"/>
      <c r="IT134" s="63"/>
      <c r="IU134" s="63"/>
      <c r="IV134" s="63"/>
      <c r="IW134" s="63"/>
    </row>
    <row r="135" spans="1:257" ht="16">
      <c r="A135" s="4">
        <v>120</v>
      </c>
      <c r="B135" s="4" t="s">
        <v>438</v>
      </c>
      <c r="C135" s="4">
        <v>51</v>
      </c>
      <c r="D135" s="4" t="s">
        <v>473</v>
      </c>
      <c r="E135" s="39" t="s">
        <v>458</v>
      </c>
      <c r="F135" s="39">
        <v>120</v>
      </c>
      <c r="G135" s="39"/>
      <c r="H135" s="22">
        <v>1</v>
      </c>
      <c r="I135" s="22" t="s">
        <v>172</v>
      </c>
      <c r="J135" s="40">
        <v>102</v>
      </c>
      <c r="K135" s="60">
        <f t="shared" si="6"/>
        <v>4.9019607843137258</v>
      </c>
      <c r="L135" s="11">
        <f t="shared" si="8"/>
        <v>21.098039215686274</v>
      </c>
      <c r="M135" s="22">
        <v>1</v>
      </c>
      <c r="N135" s="22" t="s">
        <v>153</v>
      </c>
      <c r="O135" s="39" t="s">
        <v>539</v>
      </c>
      <c r="P135" s="38" t="s">
        <v>470</v>
      </c>
      <c r="Q135" s="12" t="s">
        <v>480</v>
      </c>
      <c r="R135" s="4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3"/>
      <c r="CO135" s="63"/>
      <c r="CP135" s="63"/>
      <c r="CQ135" s="63"/>
      <c r="CR135" s="63"/>
      <c r="CS135" s="63"/>
      <c r="CT135" s="63"/>
      <c r="CU135" s="63"/>
      <c r="CV135" s="63"/>
      <c r="CW135" s="63"/>
      <c r="CX135" s="63"/>
      <c r="CY135" s="63"/>
      <c r="CZ135" s="63"/>
      <c r="DA135" s="63"/>
      <c r="DB135" s="63"/>
      <c r="DC135" s="63"/>
      <c r="DD135" s="63"/>
      <c r="DE135" s="63"/>
      <c r="DF135" s="63"/>
      <c r="DG135" s="63"/>
      <c r="DH135" s="63"/>
      <c r="DI135" s="63"/>
      <c r="DJ135" s="63"/>
      <c r="DK135" s="63"/>
      <c r="DL135" s="63"/>
      <c r="DM135" s="63"/>
      <c r="DN135" s="63"/>
      <c r="DO135" s="63"/>
      <c r="DP135" s="63"/>
      <c r="DQ135" s="63"/>
      <c r="DR135" s="63"/>
      <c r="DS135" s="63"/>
      <c r="DT135" s="63"/>
      <c r="DU135" s="63"/>
      <c r="DV135" s="63"/>
      <c r="DW135" s="63"/>
      <c r="DX135" s="63"/>
      <c r="DY135" s="63"/>
      <c r="DZ135" s="63"/>
      <c r="EA135" s="63"/>
      <c r="EB135" s="63"/>
      <c r="EC135" s="63"/>
      <c r="ED135" s="63"/>
      <c r="EE135" s="63"/>
      <c r="EF135" s="63"/>
      <c r="EG135" s="63"/>
      <c r="EH135" s="63"/>
      <c r="EI135" s="63"/>
      <c r="EJ135" s="63"/>
      <c r="EK135" s="63"/>
      <c r="EL135" s="63"/>
      <c r="EM135" s="63"/>
      <c r="EN135" s="63"/>
      <c r="EO135" s="63"/>
      <c r="EP135" s="63"/>
      <c r="EQ135" s="63"/>
      <c r="ER135" s="63"/>
      <c r="ES135" s="63"/>
      <c r="ET135" s="63"/>
      <c r="EU135" s="63"/>
      <c r="EV135" s="63"/>
      <c r="EW135" s="63"/>
      <c r="EX135" s="63"/>
      <c r="EY135" s="63"/>
      <c r="EZ135" s="63"/>
      <c r="FA135" s="63"/>
      <c r="FB135" s="63"/>
      <c r="FC135" s="63"/>
      <c r="FD135" s="63"/>
      <c r="FE135" s="63"/>
      <c r="FF135" s="63"/>
      <c r="FG135" s="63"/>
      <c r="FH135" s="63"/>
      <c r="FI135" s="63"/>
      <c r="FJ135" s="63"/>
      <c r="FK135" s="63"/>
      <c r="FL135" s="63"/>
      <c r="FM135" s="63"/>
      <c r="FN135" s="63"/>
      <c r="FO135" s="63"/>
      <c r="FP135" s="63"/>
      <c r="FQ135" s="63"/>
      <c r="FR135" s="63"/>
      <c r="FS135" s="63"/>
      <c r="FT135" s="63"/>
      <c r="FU135" s="63"/>
      <c r="FV135" s="63"/>
      <c r="FW135" s="63"/>
      <c r="FX135" s="63"/>
      <c r="FY135" s="63"/>
      <c r="FZ135" s="63"/>
      <c r="GA135" s="63"/>
      <c r="GB135" s="63"/>
      <c r="GC135" s="63"/>
      <c r="GD135" s="63"/>
      <c r="GE135" s="63"/>
      <c r="GF135" s="63"/>
      <c r="GG135" s="63"/>
      <c r="GH135" s="63"/>
      <c r="GI135" s="63"/>
      <c r="GJ135" s="63"/>
      <c r="GK135" s="63"/>
      <c r="GL135" s="63"/>
      <c r="GM135" s="63"/>
      <c r="GN135" s="63"/>
      <c r="GO135" s="63"/>
      <c r="GP135" s="63"/>
      <c r="GQ135" s="63"/>
      <c r="GR135" s="63"/>
      <c r="GS135" s="63"/>
      <c r="GT135" s="63"/>
      <c r="GU135" s="63"/>
      <c r="GV135" s="63"/>
      <c r="GW135" s="63"/>
      <c r="GX135" s="63"/>
      <c r="GY135" s="63"/>
      <c r="GZ135" s="63"/>
      <c r="HA135" s="63"/>
      <c r="HB135" s="63"/>
      <c r="HC135" s="63"/>
      <c r="HD135" s="63"/>
      <c r="HE135" s="63"/>
      <c r="HF135" s="63"/>
      <c r="HG135" s="63"/>
      <c r="HH135" s="63"/>
      <c r="HI135" s="63"/>
      <c r="HJ135" s="63"/>
      <c r="HK135" s="63"/>
      <c r="HL135" s="63"/>
      <c r="HM135" s="63"/>
      <c r="HN135" s="63"/>
      <c r="HO135" s="63"/>
      <c r="HP135" s="63"/>
      <c r="HQ135" s="63"/>
      <c r="HR135" s="63"/>
      <c r="HS135" s="63"/>
      <c r="HT135" s="63"/>
      <c r="HU135" s="63"/>
      <c r="HV135" s="63"/>
      <c r="HW135" s="63"/>
      <c r="HX135" s="63"/>
      <c r="HY135" s="63"/>
      <c r="HZ135" s="63"/>
      <c r="IA135" s="63"/>
      <c r="IB135" s="63"/>
      <c r="IC135" s="63"/>
      <c r="ID135" s="63"/>
      <c r="IE135" s="63"/>
      <c r="IF135" s="63"/>
      <c r="IG135" s="63"/>
      <c r="IH135" s="63"/>
      <c r="II135" s="63"/>
      <c r="IJ135" s="63"/>
      <c r="IK135" s="63"/>
      <c r="IL135" s="63"/>
      <c r="IM135" s="63"/>
      <c r="IN135" s="63"/>
      <c r="IO135" s="63"/>
      <c r="IP135" s="63"/>
      <c r="IQ135" s="63"/>
      <c r="IR135" s="63"/>
      <c r="IS135" s="63"/>
      <c r="IT135" s="63"/>
      <c r="IU135" s="63"/>
      <c r="IV135" s="63"/>
      <c r="IW135" s="63"/>
    </row>
    <row r="136" spans="1:257" ht="16">
      <c r="A136" s="4">
        <v>121</v>
      </c>
      <c r="B136" s="4" t="s">
        <v>438</v>
      </c>
      <c r="C136" s="4">
        <v>91</v>
      </c>
      <c r="D136" s="4" t="s">
        <v>473</v>
      </c>
      <c r="E136" s="39" t="s">
        <v>472</v>
      </c>
      <c r="F136" s="39">
        <v>121</v>
      </c>
      <c r="G136" s="39"/>
      <c r="H136" s="22">
        <v>1</v>
      </c>
      <c r="I136" s="22" t="s">
        <v>149</v>
      </c>
      <c r="J136" s="40">
        <v>79.599999999999994</v>
      </c>
      <c r="K136" s="60">
        <f t="shared" si="6"/>
        <v>6.2814070351758797</v>
      </c>
      <c r="L136" s="11">
        <f t="shared" si="8"/>
        <v>19.718592964824118</v>
      </c>
      <c r="M136" s="22">
        <v>1</v>
      </c>
      <c r="N136" s="37" t="s">
        <v>521</v>
      </c>
      <c r="O136" s="39" t="s">
        <v>539</v>
      </c>
      <c r="P136" s="38" t="s">
        <v>470</v>
      </c>
      <c r="Q136" s="12" t="s">
        <v>480</v>
      </c>
      <c r="R136" s="4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63"/>
      <c r="CV136" s="63"/>
      <c r="CW136" s="63"/>
      <c r="CX136" s="63"/>
      <c r="CY136" s="63"/>
      <c r="CZ136" s="63"/>
      <c r="DA136" s="63"/>
      <c r="DB136" s="63"/>
      <c r="DC136" s="63"/>
      <c r="DD136" s="63"/>
      <c r="DE136" s="63"/>
      <c r="DF136" s="63"/>
      <c r="DG136" s="63"/>
      <c r="DH136" s="63"/>
      <c r="DI136" s="63"/>
      <c r="DJ136" s="63"/>
      <c r="DK136" s="63"/>
      <c r="DL136" s="63"/>
      <c r="DM136" s="63"/>
      <c r="DN136" s="63"/>
      <c r="DO136" s="63"/>
      <c r="DP136" s="63"/>
      <c r="DQ136" s="63"/>
      <c r="DR136" s="63"/>
      <c r="DS136" s="63"/>
      <c r="DT136" s="63"/>
      <c r="DU136" s="63"/>
      <c r="DV136" s="63"/>
      <c r="DW136" s="63"/>
      <c r="DX136" s="63"/>
      <c r="DY136" s="63"/>
      <c r="DZ136" s="63"/>
      <c r="EA136" s="63"/>
      <c r="EB136" s="63"/>
      <c r="EC136" s="63"/>
      <c r="ED136" s="63"/>
      <c r="EE136" s="63"/>
      <c r="EF136" s="63"/>
      <c r="EG136" s="63"/>
      <c r="EH136" s="63"/>
      <c r="EI136" s="63"/>
      <c r="EJ136" s="63"/>
      <c r="EK136" s="63"/>
      <c r="EL136" s="63"/>
      <c r="EM136" s="63"/>
      <c r="EN136" s="63"/>
      <c r="EO136" s="63"/>
      <c r="EP136" s="63"/>
      <c r="EQ136" s="63"/>
      <c r="ER136" s="63"/>
      <c r="ES136" s="63"/>
      <c r="ET136" s="63"/>
      <c r="EU136" s="63"/>
      <c r="EV136" s="63"/>
      <c r="EW136" s="63"/>
      <c r="EX136" s="63"/>
      <c r="EY136" s="63"/>
      <c r="EZ136" s="63"/>
      <c r="FA136" s="63"/>
      <c r="FB136" s="63"/>
      <c r="FC136" s="63"/>
      <c r="FD136" s="63"/>
      <c r="FE136" s="63"/>
      <c r="FF136" s="63"/>
      <c r="FG136" s="63"/>
      <c r="FH136" s="63"/>
      <c r="FI136" s="63"/>
      <c r="FJ136" s="63"/>
      <c r="FK136" s="63"/>
      <c r="FL136" s="63"/>
      <c r="FM136" s="63"/>
      <c r="FN136" s="63"/>
      <c r="FO136" s="63"/>
      <c r="FP136" s="63"/>
      <c r="FQ136" s="63"/>
      <c r="FR136" s="63"/>
      <c r="FS136" s="63"/>
      <c r="FT136" s="63"/>
      <c r="FU136" s="63"/>
      <c r="FV136" s="63"/>
      <c r="FW136" s="63"/>
      <c r="FX136" s="63"/>
      <c r="FY136" s="63"/>
      <c r="FZ136" s="63"/>
      <c r="GA136" s="63"/>
      <c r="GB136" s="63"/>
      <c r="GC136" s="63"/>
      <c r="GD136" s="63"/>
      <c r="GE136" s="63"/>
      <c r="GF136" s="63"/>
      <c r="GG136" s="63"/>
      <c r="GH136" s="63"/>
      <c r="GI136" s="63"/>
      <c r="GJ136" s="63"/>
      <c r="GK136" s="63"/>
      <c r="GL136" s="63"/>
      <c r="GM136" s="63"/>
      <c r="GN136" s="63"/>
      <c r="GO136" s="63"/>
      <c r="GP136" s="63"/>
      <c r="GQ136" s="63"/>
      <c r="GR136" s="63"/>
      <c r="GS136" s="63"/>
      <c r="GT136" s="63"/>
      <c r="GU136" s="63"/>
      <c r="GV136" s="63"/>
      <c r="GW136" s="63"/>
      <c r="GX136" s="63"/>
      <c r="GY136" s="63"/>
      <c r="GZ136" s="63"/>
      <c r="HA136" s="63"/>
      <c r="HB136" s="63"/>
      <c r="HC136" s="63"/>
      <c r="HD136" s="63"/>
      <c r="HE136" s="63"/>
      <c r="HF136" s="63"/>
      <c r="HG136" s="63"/>
      <c r="HH136" s="63"/>
      <c r="HI136" s="63"/>
      <c r="HJ136" s="63"/>
      <c r="HK136" s="63"/>
      <c r="HL136" s="63"/>
      <c r="HM136" s="63"/>
      <c r="HN136" s="63"/>
      <c r="HO136" s="63"/>
      <c r="HP136" s="63"/>
      <c r="HQ136" s="63"/>
      <c r="HR136" s="63"/>
      <c r="HS136" s="63"/>
      <c r="HT136" s="63"/>
      <c r="HU136" s="63"/>
      <c r="HV136" s="63"/>
      <c r="HW136" s="63"/>
      <c r="HX136" s="63"/>
      <c r="HY136" s="63"/>
      <c r="HZ136" s="63"/>
      <c r="IA136" s="63"/>
      <c r="IB136" s="63"/>
      <c r="IC136" s="63"/>
      <c r="ID136" s="63"/>
      <c r="IE136" s="63"/>
      <c r="IF136" s="63"/>
      <c r="IG136" s="63"/>
      <c r="IH136" s="63"/>
      <c r="II136" s="63"/>
      <c r="IJ136" s="63"/>
      <c r="IK136" s="63"/>
      <c r="IL136" s="63"/>
      <c r="IM136" s="63"/>
      <c r="IN136" s="63"/>
      <c r="IO136" s="63"/>
      <c r="IP136" s="63"/>
      <c r="IQ136" s="63"/>
      <c r="IR136" s="63"/>
      <c r="IS136" s="63"/>
      <c r="IT136" s="63"/>
      <c r="IU136" s="63"/>
      <c r="IV136" s="63"/>
      <c r="IW136" s="63"/>
    </row>
    <row r="137" spans="1:257" ht="16">
      <c r="A137" s="4">
        <v>122</v>
      </c>
      <c r="B137" s="4" t="s">
        <v>438</v>
      </c>
      <c r="C137" s="4">
        <v>481</v>
      </c>
      <c r="D137" s="4" t="s">
        <v>473</v>
      </c>
      <c r="E137" s="39" t="s">
        <v>458</v>
      </c>
      <c r="F137" s="39">
        <v>122</v>
      </c>
      <c r="G137" s="39"/>
      <c r="H137" s="22">
        <v>1</v>
      </c>
      <c r="I137" s="22" t="s">
        <v>79</v>
      </c>
      <c r="J137" s="40">
        <v>108</v>
      </c>
      <c r="K137" s="60">
        <f t="shared" si="6"/>
        <v>4.6296296296296298</v>
      </c>
      <c r="L137" s="11">
        <f t="shared" si="8"/>
        <v>21.37037037037037</v>
      </c>
      <c r="M137" s="22">
        <v>1</v>
      </c>
      <c r="N137" s="22" t="s">
        <v>513</v>
      </c>
      <c r="O137" s="39"/>
      <c r="P137" s="38" t="s">
        <v>470</v>
      </c>
      <c r="Q137" s="12" t="s">
        <v>480</v>
      </c>
      <c r="R137" s="4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63"/>
      <c r="DA137" s="63"/>
      <c r="DB137" s="63"/>
      <c r="DC137" s="63"/>
      <c r="DD137" s="63"/>
      <c r="DE137" s="63"/>
      <c r="DF137" s="63"/>
      <c r="DG137" s="63"/>
      <c r="DH137" s="63"/>
      <c r="DI137" s="63"/>
      <c r="DJ137" s="63"/>
      <c r="DK137" s="63"/>
      <c r="DL137" s="63"/>
      <c r="DM137" s="63"/>
      <c r="DN137" s="63"/>
      <c r="DO137" s="63"/>
      <c r="DP137" s="63"/>
      <c r="DQ137" s="63"/>
      <c r="DR137" s="63"/>
      <c r="DS137" s="63"/>
      <c r="DT137" s="63"/>
      <c r="DU137" s="63"/>
      <c r="DV137" s="63"/>
      <c r="DW137" s="63"/>
      <c r="DX137" s="63"/>
      <c r="DY137" s="63"/>
      <c r="DZ137" s="63"/>
      <c r="EA137" s="63"/>
      <c r="EB137" s="63"/>
      <c r="EC137" s="63"/>
      <c r="ED137" s="63"/>
      <c r="EE137" s="63"/>
      <c r="EF137" s="63"/>
      <c r="EG137" s="63"/>
      <c r="EH137" s="63"/>
      <c r="EI137" s="63"/>
      <c r="EJ137" s="63"/>
      <c r="EK137" s="63"/>
      <c r="EL137" s="63"/>
      <c r="EM137" s="63"/>
      <c r="EN137" s="63"/>
      <c r="EO137" s="63"/>
      <c r="EP137" s="63"/>
      <c r="EQ137" s="63"/>
      <c r="ER137" s="63"/>
      <c r="ES137" s="63"/>
      <c r="ET137" s="63"/>
      <c r="EU137" s="63"/>
      <c r="EV137" s="63"/>
      <c r="EW137" s="63"/>
      <c r="EX137" s="63"/>
      <c r="EY137" s="63"/>
      <c r="EZ137" s="63"/>
      <c r="FA137" s="63"/>
      <c r="FB137" s="63"/>
      <c r="FC137" s="63"/>
      <c r="FD137" s="63"/>
      <c r="FE137" s="63"/>
      <c r="FF137" s="63"/>
      <c r="FG137" s="63"/>
      <c r="FH137" s="63"/>
      <c r="FI137" s="63"/>
      <c r="FJ137" s="63"/>
      <c r="FK137" s="63"/>
      <c r="FL137" s="63"/>
      <c r="FM137" s="63"/>
      <c r="FN137" s="63"/>
      <c r="FO137" s="63"/>
      <c r="FP137" s="63"/>
      <c r="FQ137" s="63"/>
      <c r="FR137" s="63"/>
      <c r="FS137" s="63"/>
      <c r="FT137" s="63"/>
      <c r="FU137" s="63"/>
      <c r="FV137" s="63"/>
      <c r="FW137" s="63"/>
      <c r="FX137" s="63"/>
      <c r="FY137" s="63"/>
      <c r="FZ137" s="63"/>
      <c r="GA137" s="63"/>
      <c r="GB137" s="63"/>
      <c r="GC137" s="63"/>
      <c r="GD137" s="63"/>
      <c r="GE137" s="63"/>
      <c r="GF137" s="63"/>
      <c r="GG137" s="63"/>
      <c r="GH137" s="63"/>
      <c r="GI137" s="63"/>
      <c r="GJ137" s="63"/>
      <c r="GK137" s="63"/>
      <c r="GL137" s="63"/>
      <c r="GM137" s="63"/>
      <c r="GN137" s="63"/>
      <c r="GO137" s="63"/>
      <c r="GP137" s="63"/>
      <c r="GQ137" s="63"/>
      <c r="GR137" s="63"/>
      <c r="GS137" s="63"/>
      <c r="GT137" s="63"/>
      <c r="GU137" s="63"/>
      <c r="GV137" s="63"/>
      <c r="GW137" s="63"/>
      <c r="GX137" s="63"/>
      <c r="GY137" s="63"/>
      <c r="GZ137" s="63"/>
      <c r="HA137" s="63"/>
      <c r="HB137" s="63"/>
      <c r="HC137" s="63"/>
      <c r="HD137" s="63"/>
      <c r="HE137" s="63"/>
      <c r="HF137" s="63"/>
      <c r="HG137" s="63"/>
      <c r="HH137" s="63"/>
      <c r="HI137" s="63"/>
      <c r="HJ137" s="63"/>
      <c r="HK137" s="63"/>
      <c r="HL137" s="63"/>
      <c r="HM137" s="63"/>
      <c r="HN137" s="63"/>
      <c r="HO137" s="63"/>
      <c r="HP137" s="63"/>
      <c r="HQ137" s="63"/>
      <c r="HR137" s="63"/>
      <c r="HS137" s="63"/>
      <c r="HT137" s="63"/>
      <c r="HU137" s="63"/>
      <c r="HV137" s="63"/>
      <c r="HW137" s="63"/>
      <c r="HX137" s="63"/>
      <c r="HY137" s="63"/>
      <c r="HZ137" s="63"/>
      <c r="IA137" s="63"/>
      <c r="IB137" s="63"/>
      <c r="IC137" s="63"/>
      <c r="ID137" s="63"/>
      <c r="IE137" s="63"/>
      <c r="IF137" s="63"/>
      <c r="IG137" s="63"/>
      <c r="IH137" s="63"/>
      <c r="II137" s="63"/>
      <c r="IJ137" s="63"/>
      <c r="IK137" s="63"/>
      <c r="IL137" s="63"/>
      <c r="IM137" s="63"/>
      <c r="IN137" s="63"/>
      <c r="IO137" s="63"/>
      <c r="IP137" s="63"/>
      <c r="IQ137" s="63"/>
      <c r="IR137" s="63"/>
      <c r="IS137" s="63"/>
      <c r="IT137" s="63"/>
      <c r="IU137" s="63"/>
      <c r="IV137" s="63"/>
      <c r="IW137" s="63"/>
    </row>
    <row r="138" spans="1:257" ht="16">
      <c r="A138" s="4">
        <v>124</v>
      </c>
      <c r="B138" s="4" t="s">
        <v>438</v>
      </c>
      <c r="C138" s="4">
        <v>113</v>
      </c>
      <c r="D138" s="4" t="s">
        <v>473</v>
      </c>
      <c r="E138" s="4" t="s">
        <v>473</v>
      </c>
      <c r="F138" s="4">
        <v>124</v>
      </c>
      <c r="G138" s="4">
        <v>200</v>
      </c>
      <c r="H138" s="22">
        <v>2</v>
      </c>
      <c r="I138" s="22" t="s">
        <v>275</v>
      </c>
      <c r="J138" s="26">
        <v>36</v>
      </c>
      <c r="K138" s="60">
        <f t="shared" si="6"/>
        <v>13.888888888888889</v>
      </c>
      <c r="L138" s="11">
        <f t="shared" si="8"/>
        <v>12.111111111111111</v>
      </c>
      <c r="M138" s="22">
        <v>2</v>
      </c>
      <c r="N138" s="22" t="s">
        <v>19</v>
      </c>
      <c r="O138" s="22" t="s">
        <v>539</v>
      </c>
      <c r="P138" s="22" t="s">
        <v>470</v>
      </c>
      <c r="Q138" s="12" t="s">
        <v>480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</row>
  </sheetData>
  <sortState ref="A2:IW138">
    <sortCondition ref="A2:A138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Selected digestion</vt:lpstr>
      <vt:lpstr>Hoja3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Microsoft Office User</cp:lastModifiedBy>
  <cp:lastPrinted>2015-06-27T19:29:03Z</cp:lastPrinted>
  <dcterms:created xsi:type="dcterms:W3CDTF">2015-06-17T19:43:22Z</dcterms:created>
  <dcterms:modified xsi:type="dcterms:W3CDTF">2018-04-13T17:52:39Z</dcterms:modified>
</cp:coreProperties>
</file>