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thonybarley/Dropbox (ASU)/Aspidoscelis/fieldwork/"/>
    </mc:Choice>
  </mc:AlternateContent>
  <xr:revisionPtr revIDLastSave="0" documentId="13_ncr:1_{EF76F85D-F801-3C4A-9902-7F5284EA72AB}" xr6:coauthVersionLast="47" xr6:coauthVersionMax="47" xr10:uidLastSave="{00000000-0000-0000-0000-000000000000}"/>
  <bookViews>
    <workbookView xWindow="1160" yWindow="500" windowWidth="28960" windowHeight="19560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S79" i="1" l="1"/>
  <c r="AT79" i="1" s="1"/>
  <c r="AP79" i="1"/>
  <c r="AQ79" i="1" s="1"/>
  <c r="AS78" i="1"/>
  <c r="AT78" i="1" s="1"/>
  <c r="AP78" i="1"/>
  <c r="AQ78" i="1" s="1"/>
  <c r="AS77" i="1"/>
  <c r="AT77" i="1" s="1"/>
  <c r="AP77" i="1"/>
  <c r="AQ77" i="1" s="1"/>
  <c r="AS76" i="1"/>
  <c r="AT76" i="1" s="1"/>
  <c r="AP76" i="1"/>
  <c r="AQ76" i="1" s="1"/>
  <c r="AS75" i="1"/>
  <c r="AT75" i="1" s="1"/>
  <c r="AP75" i="1"/>
  <c r="AQ75" i="1" s="1"/>
  <c r="AS74" i="1"/>
  <c r="AT74" i="1" s="1"/>
  <c r="AP74" i="1"/>
  <c r="AQ74" i="1" s="1"/>
  <c r="AS73" i="1"/>
  <c r="AT73" i="1" s="1"/>
  <c r="AP73" i="1"/>
  <c r="AQ73" i="1" s="1"/>
  <c r="AS72" i="1"/>
  <c r="AT72" i="1" s="1"/>
  <c r="AP72" i="1"/>
  <c r="AQ72" i="1" s="1"/>
  <c r="AS71" i="1"/>
  <c r="AT71" i="1" s="1"/>
  <c r="AP71" i="1"/>
  <c r="AQ71" i="1" s="1"/>
  <c r="AS70" i="1"/>
  <c r="AT70" i="1" s="1"/>
  <c r="AP70" i="1"/>
  <c r="AQ70" i="1" s="1"/>
  <c r="AS69" i="1"/>
  <c r="AT69" i="1" s="1"/>
  <c r="AP69" i="1"/>
  <c r="AQ69" i="1" s="1"/>
  <c r="AS68" i="1"/>
  <c r="AT68" i="1" s="1"/>
  <c r="AP68" i="1"/>
  <c r="AQ68" i="1" s="1"/>
  <c r="AS67" i="1"/>
  <c r="AT67" i="1" s="1"/>
  <c r="AP67" i="1"/>
  <c r="AQ67" i="1" s="1"/>
  <c r="AS66" i="1"/>
  <c r="AT66" i="1" s="1"/>
  <c r="AP66" i="1"/>
  <c r="AQ66" i="1" s="1"/>
  <c r="AS65" i="1"/>
  <c r="AT65" i="1" s="1"/>
  <c r="AP65" i="1"/>
  <c r="AQ65" i="1" s="1"/>
  <c r="AS64" i="1"/>
  <c r="AT64" i="1" s="1"/>
  <c r="AP64" i="1"/>
  <c r="AQ64" i="1" s="1"/>
  <c r="AS63" i="1"/>
  <c r="AT63" i="1" s="1"/>
  <c r="AP63" i="1"/>
  <c r="AQ63" i="1" s="1"/>
  <c r="AS62" i="1"/>
  <c r="AT62" i="1" s="1"/>
  <c r="AP62" i="1"/>
  <c r="AQ62" i="1" s="1"/>
  <c r="AS61" i="1"/>
  <c r="AT61" i="1" s="1"/>
  <c r="AP61" i="1"/>
  <c r="AQ61" i="1" s="1"/>
  <c r="AS60" i="1"/>
  <c r="AT60" i="1" s="1"/>
  <c r="AP60" i="1"/>
  <c r="AQ60" i="1" s="1"/>
  <c r="AS59" i="1"/>
  <c r="AT59" i="1" s="1"/>
  <c r="AP59" i="1"/>
  <c r="AQ59" i="1" s="1"/>
  <c r="AS58" i="1"/>
  <c r="AT58" i="1" s="1"/>
  <c r="AP58" i="1"/>
  <c r="AQ58" i="1" s="1"/>
  <c r="AS57" i="1"/>
  <c r="AT57" i="1" s="1"/>
  <c r="AP57" i="1"/>
  <c r="AQ57" i="1" s="1"/>
  <c r="AS56" i="1"/>
  <c r="AT56" i="1" s="1"/>
  <c r="AP56" i="1"/>
  <c r="AQ56" i="1" s="1"/>
  <c r="AS55" i="1"/>
  <c r="AT55" i="1" s="1"/>
  <c r="AP55" i="1"/>
  <c r="AQ55" i="1" s="1"/>
  <c r="AS54" i="1"/>
  <c r="AT54" i="1" s="1"/>
  <c r="AP54" i="1"/>
  <c r="AQ54" i="1" s="1"/>
  <c r="AS53" i="1"/>
  <c r="AT53" i="1" s="1"/>
  <c r="AP53" i="1"/>
  <c r="AQ53" i="1" s="1"/>
  <c r="AS52" i="1"/>
  <c r="AT52" i="1" s="1"/>
  <c r="AP52" i="1"/>
  <c r="AQ52" i="1" s="1"/>
  <c r="AS51" i="1"/>
  <c r="AT51" i="1" s="1"/>
  <c r="AP51" i="1"/>
  <c r="AQ51" i="1" s="1"/>
  <c r="AS44" i="1"/>
  <c r="AT44" i="1" s="1"/>
  <c r="AP44" i="1"/>
  <c r="AQ44" i="1" s="1"/>
  <c r="AS43" i="1"/>
  <c r="AT43" i="1" s="1"/>
  <c r="AP43" i="1"/>
  <c r="AQ43" i="1" s="1"/>
  <c r="AS42" i="1"/>
  <c r="AT42" i="1" s="1"/>
  <c r="AP42" i="1"/>
  <c r="AQ42" i="1" s="1"/>
  <c r="AS41" i="1"/>
  <c r="AT41" i="1" s="1"/>
  <c r="AP41" i="1"/>
  <c r="AQ41" i="1" s="1"/>
  <c r="AS40" i="1"/>
  <c r="AT40" i="1" s="1"/>
  <c r="AP40" i="1"/>
  <c r="AQ40" i="1" s="1"/>
  <c r="AS39" i="1"/>
  <c r="AT39" i="1" s="1"/>
  <c r="AP39" i="1"/>
  <c r="AQ39" i="1" s="1"/>
  <c r="AS38" i="1"/>
  <c r="AT38" i="1" s="1"/>
  <c r="AP38" i="1"/>
  <c r="AQ38" i="1" s="1"/>
  <c r="AS37" i="1"/>
  <c r="AT37" i="1" s="1"/>
  <c r="AP37" i="1"/>
  <c r="AQ37" i="1" s="1"/>
  <c r="AS36" i="1"/>
  <c r="AT36" i="1" s="1"/>
  <c r="AP36" i="1"/>
  <c r="AQ36" i="1" s="1"/>
  <c r="AS35" i="1"/>
  <c r="AT35" i="1" s="1"/>
  <c r="AP35" i="1"/>
  <c r="AQ35" i="1" s="1"/>
  <c r="AS34" i="1"/>
  <c r="AT34" i="1" s="1"/>
  <c r="AP34" i="1"/>
  <c r="AQ34" i="1" s="1"/>
  <c r="AS33" i="1"/>
  <c r="AT33" i="1" s="1"/>
  <c r="AP33" i="1"/>
  <c r="AQ33" i="1" s="1"/>
  <c r="AS32" i="1"/>
  <c r="AT32" i="1" s="1"/>
  <c r="AP32" i="1"/>
  <c r="AQ32" i="1" s="1"/>
  <c r="AS31" i="1"/>
  <c r="AT31" i="1" s="1"/>
  <c r="AP31" i="1"/>
  <c r="AQ31" i="1" s="1"/>
  <c r="AS30" i="1"/>
  <c r="AT30" i="1" s="1"/>
  <c r="AP30" i="1"/>
  <c r="AQ30" i="1" s="1"/>
  <c r="AS29" i="1"/>
  <c r="AT29" i="1" s="1"/>
  <c r="AP29" i="1"/>
  <c r="AQ29" i="1" s="1"/>
  <c r="AS28" i="1"/>
  <c r="AT28" i="1" s="1"/>
  <c r="AP28" i="1"/>
  <c r="AQ28" i="1" s="1"/>
  <c r="AS27" i="1"/>
  <c r="AT27" i="1" s="1"/>
  <c r="AP27" i="1"/>
  <c r="AQ27" i="1" s="1"/>
  <c r="AS26" i="1"/>
  <c r="AT26" i="1" s="1"/>
  <c r="AP26" i="1"/>
  <c r="AQ26" i="1" s="1"/>
  <c r="AS25" i="1"/>
  <c r="AT25" i="1" s="1"/>
  <c r="AP25" i="1"/>
  <c r="AQ25" i="1" s="1"/>
  <c r="AS24" i="1"/>
  <c r="AT24" i="1" s="1"/>
  <c r="AP24" i="1"/>
  <c r="AQ24" i="1" s="1"/>
  <c r="AS23" i="1"/>
  <c r="AT23" i="1" s="1"/>
  <c r="AP23" i="1"/>
  <c r="AQ23" i="1" s="1"/>
  <c r="AS22" i="1"/>
  <c r="AT22" i="1" s="1"/>
  <c r="AP22" i="1"/>
  <c r="AQ22" i="1" s="1"/>
  <c r="AS21" i="1"/>
  <c r="AT21" i="1" s="1"/>
  <c r="AP21" i="1"/>
  <c r="AQ21" i="1" s="1"/>
  <c r="AS20" i="1"/>
  <c r="AT20" i="1" s="1"/>
  <c r="AP20" i="1"/>
  <c r="AQ20" i="1" s="1"/>
  <c r="AS19" i="1"/>
  <c r="AT19" i="1" s="1"/>
  <c r="AP19" i="1"/>
  <c r="AQ19" i="1" s="1"/>
  <c r="AS18" i="1"/>
  <c r="AT18" i="1" s="1"/>
  <c r="AP18" i="1"/>
  <c r="AQ18" i="1" s="1"/>
  <c r="AS17" i="1"/>
  <c r="AT17" i="1" s="1"/>
  <c r="AP17" i="1"/>
  <c r="AQ17" i="1" s="1"/>
  <c r="AS16" i="1"/>
  <c r="AT16" i="1" s="1"/>
  <c r="AP16" i="1"/>
  <c r="AQ16" i="1" s="1"/>
  <c r="AS15" i="1"/>
  <c r="AT15" i="1" s="1"/>
  <c r="AP15" i="1"/>
  <c r="AQ15" i="1" s="1"/>
  <c r="AS14" i="1"/>
  <c r="AT14" i="1" s="1"/>
  <c r="AP14" i="1"/>
  <c r="AQ14" i="1" s="1"/>
  <c r="AS13" i="1"/>
  <c r="AT13" i="1" s="1"/>
  <c r="AP13" i="1"/>
  <c r="AQ13" i="1" s="1"/>
  <c r="AS12" i="1"/>
  <c r="AT12" i="1" s="1"/>
  <c r="AP12" i="1"/>
  <c r="AQ12" i="1" s="1"/>
  <c r="AS11" i="1"/>
  <c r="AT11" i="1" s="1"/>
  <c r="AP11" i="1"/>
  <c r="AQ11" i="1" s="1"/>
  <c r="AS10" i="1"/>
  <c r="AT10" i="1" s="1"/>
  <c r="AP10" i="1"/>
  <c r="AQ10" i="1" s="1"/>
  <c r="AS9" i="1"/>
  <c r="AT9" i="1" s="1"/>
  <c r="AP9" i="1"/>
  <c r="AQ9" i="1" s="1"/>
  <c r="AS8" i="1"/>
  <c r="AT8" i="1" s="1"/>
  <c r="AP8" i="1"/>
  <c r="AQ8" i="1" s="1"/>
  <c r="AS7" i="1"/>
  <c r="AT7" i="1" s="1"/>
  <c r="AP7" i="1"/>
  <c r="AQ7" i="1" s="1"/>
  <c r="AS6" i="1"/>
  <c r="AT6" i="1" s="1"/>
  <c r="AP6" i="1"/>
  <c r="AQ6" i="1" s="1"/>
  <c r="AS5" i="1"/>
  <c r="AT5" i="1" s="1"/>
  <c r="AP5" i="1"/>
  <c r="AQ5" i="1" s="1"/>
  <c r="AS4" i="1"/>
  <c r="AT4" i="1" s="1"/>
  <c r="AP4" i="1"/>
  <c r="AQ4" i="1" s="1"/>
  <c r="AS3" i="1"/>
  <c r="AT3" i="1" s="1"/>
  <c r="AP3" i="1"/>
  <c r="AQ3" i="1" s="1"/>
  <c r="AS2" i="1"/>
  <c r="AT2" i="1" s="1"/>
  <c r="AP2" i="1"/>
  <c r="AQ2" i="1" s="1"/>
  <c r="AR2" i="1" l="1"/>
  <c r="AR4" i="1"/>
  <c r="AR6" i="1"/>
  <c r="AR8" i="1"/>
  <c r="AR10" i="1"/>
  <c r="AR12" i="1"/>
  <c r="AR14" i="1"/>
  <c r="AR16" i="1"/>
  <c r="AR18" i="1"/>
  <c r="AR20" i="1"/>
  <c r="AR22" i="1"/>
  <c r="AR24" i="1"/>
  <c r="AR26" i="1"/>
  <c r="AR28" i="1"/>
  <c r="AR30" i="1"/>
  <c r="AR32" i="1"/>
  <c r="AR34" i="1"/>
  <c r="AR36" i="1"/>
  <c r="AR38" i="1"/>
  <c r="AR40" i="1"/>
  <c r="AR42" i="1"/>
  <c r="AR44" i="1"/>
  <c r="AR52" i="1"/>
  <c r="AR54" i="1"/>
  <c r="AR56" i="1"/>
  <c r="AR58" i="1"/>
  <c r="AR60" i="1"/>
  <c r="AR62" i="1"/>
  <c r="AR64" i="1"/>
  <c r="AR66" i="1"/>
  <c r="AR68" i="1"/>
  <c r="AR70" i="1"/>
  <c r="AR72" i="1"/>
  <c r="AR74" i="1"/>
  <c r="AR76" i="1"/>
  <c r="AR78" i="1"/>
  <c r="AU2" i="1"/>
  <c r="AU4" i="1"/>
  <c r="AU6" i="1"/>
  <c r="AU8" i="1"/>
  <c r="AU10" i="1"/>
  <c r="AU12" i="1"/>
  <c r="AU14" i="1"/>
  <c r="AU16" i="1"/>
  <c r="AU18" i="1"/>
  <c r="AU20" i="1"/>
  <c r="AU22" i="1"/>
  <c r="AU24" i="1"/>
  <c r="AU26" i="1"/>
  <c r="AU28" i="1"/>
  <c r="AU30" i="1"/>
  <c r="AU32" i="1"/>
  <c r="AU34" i="1"/>
  <c r="AU36" i="1"/>
  <c r="AU38" i="1"/>
  <c r="AU40" i="1"/>
  <c r="AU42" i="1"/>
  <c r="AU44" i="1"/>
  <c r="AU52" i="1"/>
  <c r="AU54" i="1"/>
  <c r="AU56" i="1"/>
  <c r="AU58" i="1"/>
  <c r="AU60" i="1"/>
  <c r="AU62" i="1"/>
  <c r="AU64" i="1"/>
  <c r="AU66" i="1"/>
  <c r="AU68" i="1"/>
  <c r="AU70" i="1"/>
  <c r="AU72" i="1"/>
  <c r="AU74" i="1"/>
  <c r="AU76" i="1"/>
  <c r="AU78" i="1"/>
  <c r="AR3" i="1"/>
  <c r="AR5" i="1"/>
  <c r="AR7" i="1"/>
  <c r="AR9" i="1"/>
  <c r="AR11" i="1"/>
  <c r="AR13" i="1"/>
  <c r="AR15" i="1"/>
  <c r="AR17" i="1"/>
  <c r="AR19" i="1"/>
  <c r="AR21" i="1"/>
  <c r="AR23" i="1"/>
  <c r="AR25" i="1"/>
  <c r="AR27" i="1"/>
  <c r="AR29" i="1"/>
  <c r="AR31" i="1"/>
  <c r="AR33" i="1"/>
  <c r="AR35" i="1"/>
  <c r="AR37" i="1"/>
  <c r="AR39" i="1"/>
  <c r="AR41" i="1"/>
  <c r="AR43" i="1"/>
  <c r="AR51" i="1"/>
  <c r="AR53" i="1"/>
  <c r="AR55" i="1"/>
  <c r="AR57" i="1"/>
  <c r="AR59" i="1"/>
  <c r="AR61" i="1"/>
  <c r="AR63" i="1"/>
  <c r="AR65" i="1"/>
  <c r="AR67" i="1"/>
  <c r="AR69" i="1"/>
  <c r="AR71" i="1"/>
  <c r="AR73" i="1"/>
  <c r="AR75" i="1"/>
  <c r="AR77" i="1"/>
  <c r="AR79" i="1"/>
  <c r="AU3" i="1"/>
  <c r="AU5" i="1"/>
  <c r="AU7" i="1"/>
  <c r="AU9" i="1"/>
  <c r="AU11" i="1"/>
  <c r="AU13" i="1"/>
  <c r="AU15" i="1"/>
  <c r="AU17" i="1"/>
  <c r="AU19" i="1"/>
  <c r="AU21" i="1"/>
  <c r="AU23" i="1"/>
  <c r="AU25" i="1"/>
  <c r="AU27" i="1"/>
  <c r="AU29" i="1"/>
  <c r="AU31" i="1"/>
  <c r="AU33" i="1"/>
  <c r="AU35" i="1"/>
  <c r="AU37" i="1"/>
  <c r="AU39" i="1"/>
  <c r="AU41" i="1"/>
  <c r="AU43" i="1"/>
  <c r="AU51" i="1"/>
  <c r="AU53" i="1"/>
  <c r="AU55" i="1"/>
  <c r="AU57" i="1"/>
  <c r="AU59" i="1"/>
  <c r="AU61" i="1"/>
  <c r="AU63" i="1"/>
  <c r="AU65" i="1"/>
  <c r="AU67" i="1"/>
  <c r="AU69" i="1"/>
  <c r="AU71" i="1"/>
  <c r="AU73" i="1"/>
  <c r="AU75" i="1"/>
  <c r="AU77" i="1"/>
  <c r="AU79" i="1"/>
</calcChain>
</file>

<file path=xl/sharedStrings.xml><?xml version="1.0" encoding="utf-8"?>
<sst xmlns="http://schemas.openxmlformats.org/spreadsheetml/2006/main" count="4632" uniqueCount="519">
  <si>
    <t>identificadorUnico</t>
  </si>
  <si>
    <t>siglasColecciónMZFC</t>
  </si>
  <si>
    <t>#CatálogoMZFC</t>
  </si>
  <si>
    <t>nombreCientífico</t>
  </si>
  <si>
    <t>etiquetaCampo</t>
  </si>
  <si>
    <t>nombreEtiquetaCampo</t>
  </si>
  <si>
    <t>catálogoCampo</t>
  </si>
  <si>
    <t>colectorPrimario</t>
  </si>
  <si>
    <t>siglasColectorPrimario</t>
  </si>
  <si>
    <t>colectoresSecundarios</t>
  </si>
  <si>
    <t>cantidadMuestras</t>
  </si>
  <si>
    <t>tipoMuestra</t>
  </si>
  <si>
    <t>sexo</t>
  </si>
  <si>
    <t>etapaDesarrollo</t>
  </si>
  <si>
    <t>actividadReproductiva</t>
  </si>
  <si>
    <t>actividad</t>
  </si>
  <si>
    <t>tipoPreparación</t>
  </si>
  <si>
    <t>localización</t>
  </si>
  <si>
    <t>otrosNúmerosCatálogo</t>
  </si>
  <si>
    <t>obervacionesOrganismo</t>
  </si>
  <si>
    <t>fotografía</t>
  </si>
  <si>
    <t>autorFotografía</t>
  </si>
  <si>
    <t>taxonesAsociados</t>
  </si>
  <si>
    <t>tipoTejido</t>
  </si>
  <si>
    <t>tejidoCajaCelda</t>
  </si>
  <si>
    <t>otroMaterialAsociado</t>
  </si>
  <si>
    <t>horaColecta</t>
  </si>
  <si>
    <t>añoColecta</t>
  </si>
  <si>
    <t>mesColecta</t>
  </si>
  <si>
    <t>díaColecta</t>
  </si>
  <si>
    <t>hábitat</t>
  </si>
  <si>
    <t>sitioColecta</t>
  </si>
  <si>
    <t>observacionesColecta</t>
  </si>
  <si>
    <t>país</t>
  </si>
  <si>
    <t>estado</t>
  </si>
  <si>
    <t>municipio</t>
  </si>
  <si>
    <t>localidad</t>
  </si>
  <si>
    <t>altitud</t>
  </si>
  <si>
    <t>latitudGrados</t>
  </si>
  <si>
    <t>latitudMinutos</t>
  </si>
  <si>
    <t>latitudSegundos</t>
  </si>
  <si>
    <t>longitudGrados</t>
  </si>
  <si>
    <t>longitudMinutos</t>
  </si>
  <si>
    <t>longitudSegundos</t>
  </si>
  <si>
    <t>latitudDecimal</t>
  </si>
  <si>
    <t>longitudDecimal</t>
  </si>
  <si>
    <t>determinador</t>
  </si>
  <si>
    <t>añoDeterminación</t>
  </si>
  <si>
    <t>comentariosIdentificación</t>
  </si>
  <si>
    <t>tipoNomenclatural</t>
  </si>
  <si>
    <t>clase</t>
  </si>
  <si>
    <t>familia</t>
  </si>
  <si>
    <t>género</t>
  </si>
  <si>
    <t>epítetoEspecífico</t>
  </si>
  <si>
    <t>donador</t>
  </si>
  <si>
    <t>correoElectronicoContacto</t>
  </si>
  <si>
    <t>fechaCatalogación</t>
  </si>
  <si>
    <t>Subespecie</t>
  </si>
  <si>
    <t>Subserie</t>
  </si>
  <si>
    <t>Voucher (otro que MZFC)</t>
  </si>
  <si>
    <t>Secuencia DNAmt</t>
  </si>
  <si>
    <t>RADseq</t>
  </si>
  <si>
    <t>EjemplarNoCatálogo</t>
  </si>
  <si>
    <t>StatusID</t>
  </si>
  <si>
    <t>Notas1</t>
  </si>
  <si>
    <t>Notas2</t>
  </si>
  <si>
    <t>TejCol_BUC</t>
  </si>
  <si>
    <t>TejCaja_BUC</t>
  </si>
  <si>
    <t>TejCelda_BUC</t>
  </si>
  <si>
    <t>√</t>
  </si>
  <si>
    <t>Anolis laeviventris</t>
  </si>
  <si>
    <t>ANMO:4392</t>
  </si>
  <si>
    <t>Adrián Nieto Montes de Oca</t>
  </si>
  <si>
    <t>Cuaderno ANMO</t>
  </si>
  <si>
    <t>ANMO</t>
  </si>
  <si>
    <t>Anthony J. Barley, Robert Castle Thompson, Levi Nathaniel Gray, Brittney Ann White</t>
  </si>
  <si>
    <t>Organismo</t>
  </si>
  <si>
    <t>Alcohol al 96%</t>
  </si>
  <si>
    <t>En colección</t>
  </si>
  <si>
    <t>Congelador ANMO</t>
  </si>
  <si>
    <t>México</t>
  </si>
  <si>
    <t>Veracruz</t>
  </si>
  <si>
    <t>Ixtaczoquitlán</t>
  </si>
  <si>
    <t>Road between Cuautlapan and Ixtaczoquitlán</t>
  </si>
  <si>
    <t>Levi Nathaniel Gray</t>
  </si>
  <si>
    <t>Reptilia</t>
  </si>
  <si>
    <t>Dactyloidae</t>
  </si>
  <si>
    <t>Anolis</t>
  </si>
  <si>
    <t>laeviventris</t>
  </si>
  <si>
    <t>Levi Nathaniel Gray, levingray82@gmail.com</t>
  </si>
  <si>
    <t>Anolis sericeus</t>
  </si>
  <si>
    <t>ANMO:4393</t>
  </si>
  <si>
    <t>sericeus</t>
  </si>
  <si>
    <t>Phrynosoma orbiculare</t>
  </si>
  <si>
    <t>ANMO:4394</t>
  </si>
  <si>
    <t>16–19</t>
  </si>
  <si>
    <t>Matorral xerófilo con Agave y Yucca</t>
  </si>
  <si>
    <t>Sobre el suelo</t>
  </si>
  <si>
    <t>Puebla</t>
  </si>
  <si>
    <t>Tepeyahualco</t>
  </si>
  <si>
    <t>Laguna de Alchichica, alrededores</t>
  </si>
  <si>
    <t>Phrynosomatidae</t>
  </si>
  <si>
    <t>Phrynosoma</t>
  </si>
  <si>
    <t>orbiculare</t>
  </si>
  <si>
    <t>Adrián Nieto Montes de Oca, anietomontesdeoca@me.com</t>
  </si>
  <si>
    <t>Aspidoscelis costata</t>
  </si>
  <si>
    <t>ANMO:4395</t>
  </si>
  <si>
    <t>Debajo de piedra</t>
  </si>
  <si>
    <t>Topotipo de Aspidoscelis alpina</t>
  </si>
  <si>
    <t>Teiidae</t>
  </si>
  <si>
    <t>Aspidoscelis</t>
  </si>
  <si>
    <t>costata</t>
  </si>
  <si>
    <t>ANMO:4396</t>
  </si>
  <si>
    <t>Macho</t>
  </si>
  <si>
    <t>Subadulto</t>
  </si>
  <si>
    <t>Durmiendo</t>
  </si>
  <si>
    <t>vientre azul, garganta…</t>
  </si>
  <si>
    <t>10–13</t>
  </si>
  <si>
    <t>ANMO:4397</t>
  </si>
  <si>
    <t>ANMO:4398</t>
  </si>
  <si>
    <t>ANMO:4399</t>
  </si>
  <si>
    <t>ANMO:4400</t>
  </si>
  <si>
    <t>Aspidoscelis deppii</t>
  </si>
  <si>
    <t>ANMO:4401</t>
  </si>
  <si>
    <t>Corriendo y forrajeando</t>
  </si>
  <si>
    <t>9–11</t>
  </si>
  <si>
    <t>Vegetación de dunas costeras</t>
  </si>
  <si>
    <t>El Riachuelo</t>
  </si>
  <si>
    <t>Topotipo de Aspidoscelis deppii schizophora</t>
  </si>
  <si>
    <t>deppii</t>
  </si>
  <si>
    <t>schizophora</t>
  </si>
  <si>
    <t>ANMO:4402</t>
  </si>
  <si>
    <t>ANMO:4403</t>
  </si>
  <si>
    <t>ANMO:4404</t>
  </si>
  <si>
    <t>ANMO:4405</t>
  </si>
  <si>
    <t>ANMO:4406</t>
  </si>
  <si>
    <t>Aspidoscelis guttata</t>
  </si>
  <si>
    <t>ANMO:4407</t>
  </si>
  <si>
    <t>Colectada en cercanías de basurero</t>
  </si>
  <si>
    <t>guttata</t>
  </si>
  <si>
    <t>ANMO:4408</t>
  </si>
  <si>
    <t>Holbookia propinqua</t>
  </si>
  <si>
    <t>ANMO:4409</t>
  </si>
  <si>
    <t>Holbrookia</t>
  </si>
  <si>
    <t>propinqua</t>
  </si>
  <si>
    <t>ANMO:4410</t>
  </si>
  <si>
    <t>Sceloporus variabilis</t>
  </si>
  <si>
    <t>ANMO:4411</t>
  </si>
  <si>
    <t>Corriendo</t>
  </si>
  <si>
    <t>Sceloporus</t>
  </si>
  <si>
    <t>variabilis</t>
  </si>
  <si>
    <t>ANMO:4412</t>
  </si>
  <si>
    <t>Joven</t>
  </si>
  <si>
    <t>15–16</t>
  </si>
  <si>
    <t>Raudal, aproximadamente 2 km S; campamento tortuguero</t>
  </si>
  <si>
    <t>ANMO:4413</t>
  </si>
  <si>
    <t>ANMO:4414</t>
  </si>
  <si>
    <t>9–14</t>
  </si>
  <si>
    <t>Vegetación de galería</t>
  </si>
  <si>
    <t>San Jerónimo, junto al río Papaloapan</t>
  </si>
  <si>
    <t>ANMO:4415</t>
  </si>
  <si>
    <t>ANMO:4416</t>
  </si>
  <si>
    <t>ANMO:4417</t>
  </si>
  <si>
    <t>Basiliscus vittatus</t>
  </si>
  <si>
    <t>ANMO:4418</t>
  </si>
  <si>
    <t>Corytophanidae</t>
  </si>
  <si>
    <t>Basiliscus</t>
  </si>
  <si>
    <t>vittatus</t>
  </si>
  <si>
    <t>ANMO:4419</t>
  </si>
  <si>
    <t>ANMO:4420</t>
  </si>
  <si>
    <t>11–12</t>
  </si>
  <si>
    <t>Tonalá, playa</t>
  </si>
  <si>
    <t>ANMO:4421</t>
  </si>
  <si>
    <t>ANMO:4422</t>
  </si>
  <si>
    <t>ANMO:4423</t>
  </si>
  <si>
    <t>ANMO:4424</t>
  </si>
  <si>
    <t>ANMO:4425</t>
  </si>
  <si>
    <t>ANMO:4426</t>
  </si>
  <si>
    <t>12–13</t>
  </si>
  <si>
    <t>Villa de Allende, aproximadamente 15 km ENE</t>
  </si>
  <si>
    <t>ANMO:4427</t>
  </si>
  <si>
    <t>ANMO:4428</t>
  </si>
  <si>
    <t>ANMO:4429</t>
  </si>
  <si>
    <t>13–14</t>
  </si>
  <si>
    <t>Pastizal inducido con Acacia y otros arbustos</t>
  </si>
  <si>
    <t>También presentes Holcosus e Iguana</t>
  </si>
  <si>
    <t>Chiapas</t>
  </si>
  <si>
    <t>Villaflores?</t>
  </si>
  <si>
    <t>Jaltenango La Paz, 1 km N; al lado de carretera Villaflores-Villa Corzo</t>
  </si>
  <si>
    <t>ANMO:4430</t>
  </si>
  <si>
    <t>ANMO:4431</t>
  </si>
  <si>
    <t>ANMO:4432</t>
  </si>
  <si>
    <t>ANMO:4433</t>
  </si>
  <si>
    <t xml:space="preserve">Ctenosaura </t>
  </si>
  <si>
    <t>ANMO:4434</t>
  </si>
  <si>
    <t>Pastizal inducido</t>
  </si>
  <si>
    <t>Muerta en la carretera</t>
  </si>
  <si>
    <t>Pijijiapan, aproximadamente 2 km NO, carretera Mex 200</t>
  </si>
  <si>
    <t>Iguanidae</t>
  </si>
  <si>
    <t>Ctenosaura</t>
  </si>
  <si>
    <t>ANMO:4435</t>
  </si>
  <si>
    <t>Hembra</t>
  </si>
  <si>
    <t>Varias crías de Ctenosaura presentes</t>
  </si>
  <si>
    <t>Desviación hacia Tres Picos de la carretera Mex 200 Arriaga-Tapachula</t>
  </si>
  <si>
    <t>ANMO:4436</t>
  </si>
  <si>
    <t>ANMO:4437</t>
  </si>
  <si>
    <t>ANMO:4438</t>
  </si>
  <si>
    <t>ANMO:4439</t>
  </si>
  <si>
    <t>ANMO:4440</t>
  </si>
  <si>
    <t>ANMO:4441</t>
  </si>
  <si>
    <t>12–14</t>
  </si>
  <si>
    <t>Bancos de arena a orilla de río, caserío</t>
  </si>
  <si>
    <t xml:space="preserve">Chocohuital, aproximadamente 4 km NE; cruce de la carretera Pijijiapan-Chocohuital y rio </t>
  </si>
  <si>
    <t>ANMO:4442</t>
  </si>
  <si>
    <t>12–15</t>
  </si>
  <si>
    <t>ANMO:4443</t>
  </si>
  <si>
    <t>12–16</t>
  </si>
  <si>
    <t>ANMO:4444</t>
  </si>
  <si>
    <t>12–17</t>
  </si>
  <si>
    <t>ANMO:4445</t>
  </si>
  <si>
    <t>12–18</t>
  </si>
  <si>
    <t>Sphenomorphus</t>
  </si>
  <si>
    <t>ANMO:4446</t>
  </si>
  <si>
    <t>Asoléandose</t>
  </si>
  <si>
    <t>Selva alta perennifolia</t>
  </si>
  <si>
    <t>Sobre hojarasca</t>
  </si>
  <si>
    <t>Palenque</t>
  </si>
  <si>
    <t>Palenque, aproximadamente 4 km SO; cabañas y hostal Kin Balam</t>
  </si>
  <si>
    <t>Scincidae</t>
  </si>
  <si>
    <t>Anolis rodriguezii</t>
  </si>
  <si>
    <t>ANMO:4447</t>
  </si>
  <si>
    <t>23–24</t>
  </si>
  <si>
    <t>Sobre vegetación</t>
  </si>
  <si>
    <t>rodriguezii</t>
  </si>
  <si>
    <t>Anolis beckeri</t>
  </si>
  <si>
    <t>ANMO:4448</t>
  </si>
  <si>
    <t>beckeri</t>
  </si>
  <si>
    <t>Anolis lemurinus</t>
  </si>
  <si>
    <t>ANMO:4449</t>
  </si>
  <si>
    <t>lemurinus</t>
  </si>
  <si>
    <t>ANMO:4450</t>
  </si>
  <si>
    <t>Sceloporus spinosus</t>
  </si>
  <si>
    <t>ANMO:4451</t>
  </si>
  <si>
    <t>10–12</t>
  </si>
  <si>
    <t>Cultivos, matorral xerófilo con Opuntia y lechugilla, y manchones de pinos y pasto en la base de cerro; bosque de encino en las laderas</t>
  </si>
  <si>
    <t>San Salvador El Seco</t>
  </si>
  <si>
    <t>San Salvador El Seco, aproximadamente 1.8 km SE</t>
  </si>
  <si>
    <t>spinosus</t>
  </si>
  <si>
    <t>ANMO:4452</t>
  </si>
  <si>
    <t>Conopsis nasus</t>
  </si>
  <si>
    <t>ANMO:4453</t>
  </si>
  <si>
    <t>Identificación tentativa</t>
  </si>
  <si>
    <t>Colubridae</t>
  </si>
  <si>
    <t>Conopsis</t>
  </si>
  <si>
    <t>nasus</t>
  </si>
  <si>
    <t>ANMO:4454</t>
  </si>
  <si>
    <t>Sceloporus megalepidurus</t>
  </si>
  <si>
    <t>ANMO:4455</t>
  </si>
  <si>
    <t>megalepidurus</t>
  </si>
  <si>
    <t>ANMO:4456</t>
  </si>
  <si>
    <t>Matorral xerófilo con Opuntia, magueyes</t>
  </si>
  <si>
    <t>Santiago Alseseca, aproximadamente 1 km N</t>
  </si>
  <si>
    <t>Stenorrhina</t>
  </si>
  <si>
    <t>ANMO:4457</t>
  </si>
  <si>
    <t>ANMO:4458</t>
  </si>
  <si>
    <t>Sobre maguey</t>
  </si>
  <si>
    <t>ANMO:4459</t>
  </si>
  <si>
    <t>San Gabriel Tetzoyocan, aproximadamente 1 km NO</t>
  </si>
  <si>
    <t>ANMO:4460</t>
  </si>
  <si>
    <t>ANMO:4461</t>
  </si>
  <si>
    <t>ANMO:4462</t>
  </si>
  <si>
    <t>Salvadora intermedia</t>
  </si>
  <si>
    <t>ANMO:4463</t>
  </si>
  <si>
    <t>15–17</t>
  </si>
  <si>
    <t>Matorral xerófilo</t>
  </si>
  <si>
    <t>Tlacotepec de Benito Juárez, aproximadamente 6 km E; San Marcos Tlacoyalco, 1 km E</t>
  </si>
  <si>
    <t>Salvadora</t>
  </si>
  <si>
    <t>intermedia</t>
  </si>
  <si>
    <t>Coluber mentovarius</t>
  </si>
  <si>
    <t>ANMO:4464</t>
  </si>
  <si>
    <t>Tejidos</t>
  </si>
  <si>
    <t>Coluber</t>
  </si>
  <si>
    <t>mentovarius</t>
  </si>
  <si>
    <t>ANMO:4465</t>
  </si>
  <si>
    <t>11–15</t>
  </si>
  <si>
    <t>Matorral xerófilo con Yucca, magueyes, Opuntia, mesquite</t>
  </si>
  <si>
    <t>San Luis Temalacayuca, 2 km NE</t>
  </si>
  <si>
    <t>ANMO:4466</t>
  </si>
  <si>
    <t>Aspidoscelis sackii</t>
  </si>
  <si>
    <t>ANMO:4467</t>
  </si>
  <si>
    <t>sackii</t>
  </si>
  <si>
    <t>ANMO:4468</t>
  </si>
  <si>
    <t>grupo scalaris</t>
  </si>
  <si>
    <t>ANMO:4469</t>
  </si>
  <si>
    <t>Anolis quercorum</t>
  </si>
  <si>
    <t>ANMO:4477</t>
  </si>
  <si>
    <t xml:space="preserve">Adrián Nieto Montes de Oca </t>
  </si>
  <si>
    <t xml:space="preserve">José Daniel Lara Tufiño, Robert C. Thomson, Anthony J. Barley </t>
  </si>
  <si>
    <t>Adulta</t>
  </si>
  <si>
    <t>Alcohol 70%</t>
  </si>
  <si>
    <t>RNAlater</t>
  </si>
  <si>
    <t>Junio</t>
  </si>
  <si>
    <t>Sobre pasto seco</t>
  </si>
  <si>
    <t>Oaxaca</t>
  </si>
  <si>
    <t>Santo Domingo Yanhuitlán</t>
  </si>
  <si>
    <t>Orillas de Yanhuitlán; El Jazmín, Rancho Nuevo Amanecer</t>
  </si>
  <si>
    <t>Identificación definitiva</t>
  </si>
  <si>
    <t>quercorum</t>
  </si>
  <si>
    <t>ANMO:4478</t>
  </si>
  <si>
    <t>Adulto</t>
  </si>
  <si>
    <t>Abanico rosa fuerte</t>
  </si>
  <si>
    <t>Sobre agave</t>
  </si>
  <si>
    <t>Sceloporus grammicus</t>
  </si>
  <si>
    <t>ANMO:4479</t>
  </si>
  <si>
    <t>Bosque de Juniperus perturbado</t>
  </si>
  <si>
    <t>Sobre roca</t>
  </si>
  <si>
    <t xml:space="preserve">Sceloporus </t>
  </si>
  <si>
    <t>grammicus</t>
  </si>
  <si>
    <t>ANMO:4480</t>
  </si>
  <si>
    <t>Preñada</t>
  </si>
  <si>
    <t>Matorral xerófilo secundatio</t>
  </si>
  <si>
    <t>Aspidoscelis sp</t>
  </si>
  <si>
    <t>ANMO:4481</t>
  </si>
  <si>
    <t>Subadulta</t>
  </si>
  <si>
    <t>Forrajeando</t>
  </si>
  <si>
    <t>RNAlater &amp; Et-OH</t>
  </si>
  <si>
    <t>Barda de piedra - rancho en matorral xerófilo perturbado</t>
  </si>
  <si>
    <t>Sobre suelo</t>
  </si>
  <si>
    <t>badland</t>
  </si>
  <si>
    <t>ANMO:4482</t>
  </si>
  <si>
    <t>Throat pale bluish speckled with dark blue / black; chest and venter checkered with blue</t>
  </si>
  <si>
    <t>ANMO:4483</t>
  </si>
  <si>
    <t>Anolis microlepidotus</t>
  </si>
  <si>
    <t>ANMO:4484</t>
  </si>
  <si>
    <t>Cuadernilo ANMO</t>
  </si>
  <si>
    <t>Et-OH</t>
  </si>
  <si>
    <t>Bosque tropical caducifolio?</t>
  </si>
  <si>
    <t>Sobre hierba</t>
  </si>
  <si>
    <t>Huajuapan de León?</t>
  </si>
  <si>
    <t>Camino de Huajuapan de León to Santiago Juxtlahuaca</t>
  </si>
  <si>
    <t>microlepidotus</t>
  </si>
  <si>
    <t>ANMO:4485</t>
  </si>
  <si>
    <t>ANMO:4486</t>
  </si>
  <si>
    <t>ANMO:4487</t>
  </si>
  <si>
    <t>ANMO:4488</t>
  </si>
  <si>
    <t>Eleutherodactylus sp</t>
  </si>
  <si>
    <t>ANMO:4489</t>
  </si>
  <si>
    <t>Cantando</t>
  </si>
  <si>
    <t>Amphibia</t>
  </si>
  <si>
    <t>Leptodactylidae</t>
  </si>
  <si>
    <t>Eleutherodactylus (Syrrophus)</t>
  </si>
  <si>
    <t>sp</t>
  </si>
  <si>
    <t>ANMO:4490</t>
  </si>
  <si>
    <t>ANMO:4491</t>
  </si>
  <si>
    <t>Rana zweifeli</t>
  </si>
  <si>
    <t>ANMO:4492</t>
  </si>
  <si>
    <t>Orilla de río (en el agua)</t>
  </si>
  <si>
    <t>Ranidae</t>
  </si>
  <si>
    <t>Rana</t>
  </si>
  <si>
    <t>zweifeli</t>
  </si>
  <si>
    <t>ANMO:4493</t>
  </si>
  <si>
    <t>ANMO:4494</t>
  </si>
  <si>
    <t>Caminando, forrajeando</t>
  </si>
  <si>
    <t>junio</t>
  </si>
  <si>
    <t>Matorral xerófilo con Opuntia, mesquite</t>
  </si>
  <si>
    <t>ANMO:4495</t>
  </si>
  <si>
    <t>ANMO:4496</t>
  </si>
  <si>
    <t>ANMO:4497</t>
  </si>
  <si>
    <t>ANMO:4498</t>
  </si>
  <si>
    <t>ANMO:4499</t>
  </si>
  <si>
    <t>ANMO:4500</t>
  </si>
  <si>
    <t>ANMO:4501</t>
  </si>
  <si>
    <t>ANMO:4502</t>
  </si>
  <si>
    <t>Aspidoscelis (tail)</t>
  </si>
  <si>
    <t>ANMO:4503</t>
  </si>
  <si>
    <t>ANMO:4504</t>
  </si>
  <si>
    <t>Perchando</t>
  </si>
  <si>
    <t>Sobre tronco de árbol</t>
  </si>
  <si>
    <t>Aspidoscelis badlands</t>
  </si>
  <si>
    <t>ANMO:4505</t>
  </si>
  <si>
    <t>Durmiendo?</t>
  </si>
  <si>
    <t>Santiago Yolomécatl?</t>
  </si>
  <si>
    <t>Orilla sur de Santiago Yolomécatl</t>
  </si>
  <si>
    <t>ANMO:4506</t>
  </si>
  <si>
    <t>ANMO:4507</t>
  </si>
  <si>
    <t>ANMO:4508</t>
  </si>
  <si>
    <t>Juxtlahuaca?</t>
  </si>
  <si>
    <t>Carretera de Juxtlahuaca a Huajuapan de León</t>
  </si>
  <si>
    <t>ANMO:4509</t>
  </si>
  <si>
    <t>ANMO:4510</t>
  </si>
  <si>
    <t>Anaxyrus sp</t>
  </si>
  <si>
    <t>ANMO:4511</t>
  </si>
  <si>
    <t xml:space="preserve">Sentado </t>
  </si>
  <si>
    <t>Sobre tierra junto a un arbusto</t>
  </si>
  <si>
    <t>Anaxyrus</t>
  </si>
  <si>
    <t>Bufonidae</t>
  </si>
  <si>
    <t>Aspidoscelis costata cf</t>
  </si>
  <si>
    <t>ANMO:4512</t>
  </si>
  <si>
    <t>Sabana con arbustos y huizaches dispersos</t>
  </si>
  <si>
    <t>Bajo piedra</t>
  </si>
  <si>
    <t>Carretera de Juxtlahuaca a Huajuapan de León, cerca de Tlacotepec</t>
  </si>
  <si>
    <t>ANMO:4513</t>
  </si>
  <si>
    <t>ANMO:4514</t>
  </si>
  <si>
    <t>ANMO:4515</t>
  </si>
  <si>
    <t>Restos de bosque tropical caducifolio</t>
  </si>
  <si>
    <t>Sobre rama</t>
  </si>
  <si>
    <t>Desviación de San Andrés Huaxpaltepec hacia Santa Ma. Huazolotitlán</t>
  </si>
  <si>
    <t>ANMO:4516</t>
  </si>
  <si>
    <t xml:space="preserve">Urosaurus bicarinatus </t>
  </si>
  <si>
    <t>ANMO:4517</t>
  </si>
  <si>
    <t>Garganta color naranja</t>
  </si>
  <si>
    <t>Urosaurus bicarinatus</t>
  </si>
  <si>
    <t>Urosaurus</t>
  </si>
  <si>
    <t>bicarinatus</t>
  </si>
  <si>
    <t>Boa</t>
  </si>
  <si>
    <t>ANMO:4518</t>
  </si>
  <si>
    <t>Muerta</t>
  </si>
  <si>
    <t>Boa sigma</t>
  </si>
  <si>
    <t>Boidae</t>
  </si>
  <si>
    <t>sigma?</t>
  </si>
  <si>
    <t>ANMO:4519</t>
  </si>
  <si>
    <t>ANMO:4520</t>
  </si>
  <si>
    <t>ANMO:4521</t>
  </si>
  <si>
    <t>ANMO:4522</t>
  </si>
  <si>
    <t>ANMO:4523</t>
  </si>
  <si>
    <t>ANMO:4524</t>
  </si>
  <si>
    <t>ANMO:4525</t>
  </si>
  <si>
    <t>ANMO:4526</t>
  </si>
  <si>
    <t>ANMO:4527</t>
  </si>
  <si>
    <t>ANMO:4528</t>
  </si>
  <si>
    <t>ANMO:4529</t>
  </si>
  <si>
    <t>ANMO:4530</t>
  </si>
  <si>
    <t>ANMO:4531</t>
  </si>
  <si>
    <t>ANMO:4532</t>
  </si>
  <si>
    <t>ANMO:4533</t>
  </si>
  <si>
    <t>ANMO:4534</t>
  </si>
  <si>
    <t>ANMO:4535</t>
  </si>
  <si>
    <t>ANMO:4536</t>
  </si>
  <si>
    <t>ANMO:4537</t>
  </si>
  <si>
    <t>ANMO:4538</t>
  </si>
  <si>
    <t>ANMO:4539</t>
  </si>
  <si>
    <t>Aspidoscelis guttata (tail)</t>
  </si>
  <si>
    <t>ANMO:4540</t>
  </si>
  <si>
    <t>ANMO:4541</t>
  </si>
  <si>
    <t>Rio Manialtepec</t>
  </si>
  <si>
    <t>ANMO:4542</t>
  </si>
  <si>
    <t>ANMO:4543</t>
  </si>
  <si>
    <t>ANMO:4544</t>
  </si>
  <si>
    <t>ANMO:4545</t>
  </si>
  <si>
    <t>ANMO:4546</t>
  </si>
  <si>
    <t>ANMO:4547</t>
  </si>
  <si>
    <t>ANMO:4548</t>
  </si>
  <si>
    <t>Aspidoscelis deppii (tail)</t>
  </si>
  <si>
    <t>ANMO:4549</t>
  </si>
  <si>
    <t>Anolis immaculogularis (dead next morning)</t>
  </si>
  <si>
    <t>ANMO:4550</t>
  </si>
  <si>
    <t>Camino a Playa Punta Colorada</t>
  </si>
  <si>
    <t>Anolis immaculogularis (foto)</t>
  </si>
  <si>
    <t>ANMO:4551</t>
  </si>
  <si>
    <t>8521-8523</t>
  </si>
  <si>
    <t>Anolis immaculogularis</t>
  </si>
  <si>
    <t>ANMO:4552</t>
  </si>
  <si>
    <t>ANMO:4553</t>
  </si>
  <si>
    <t>ANMO:4554</t>
  </si>
  <si>
    <t>Phyllodactylus pequeño</t>
  </si>
  <si>
    <t>ANMO:4555</t>
  </si>
  <si>
    <t>ANMO:4556</t>
  </si>
  <si>
    <t>ANMO:4557</t>
  </si>
  <si>
    <t>ANMO:4558</t>
  </si>
  <si>
    <t>8525-8526</t>
  </si>
  <si>
    <t>Aprox 13 km W Puerto Escondido sobre carretera a Acapulco</t>
  </si>
  <si>
    <t>ANMO:4559</t>
  </si>
  <si>
    <t>ANMO:4560</t>
  </si>
  <si>
    <t>ANMO:4561</t>
  </si>
  <si>
    <t>ANMO:4562</t>
  </si>
  <si>
    <t>ANMO:4563</t>
  </si>
  <si>
    <t>Phyllodactylus grande</t>
  </si>
  <si>
    <t>ANMO:4564</t>
  </si>
  <si>
    <t>Aprox 15 km E Puerto Escondido sobre carretera a Tehuantepec</t>
  </si>
  <si>
    <t>ANMO:4565</t>
  </si>
  <si>
    <t>El Lagartero (camino Puerto Escondido a Salina Cruz)</t>
  </si>
  <si>
    <t>ANMO:4566</t>
  </si>
  <si>
    <t>ANMO:4567</t>
  </si>
  <si>
    <t>ANMO:4568</t>
  </si>
  <si>
    <t>ANMO:4569</t>
  </si>
  <si>
    <t>ANMO:4570</t>
  </si>
  <si>
    <t>ANMO:4571</t>
  </si>
  <si>
    <t>ANMO:4572</t>
  </si>
  <si>
    <t>ANMO:4573</t>
  </si>
  <si>
    <t>ANMO:4574</t>
  </si>
  <si>
    <t>ANMO:4575</t>
  </si>
  <si>
    <t>ANMO:4576</t>
  </si>
  <si>
    <t>ANMO:4577</t>
  </si>
  <si>
    <t>ANMO:4578</t>
  </si>
  <si>
    <t>ANMO:4579</t>
  </si>
  <si>
    <t>ANMO:4580</t>
  </si>
  <si>
    <t>Puente Zimatán</t>
  </si>
  <si>
    <t>ANMO:4581</t>
  </si>
  <si>
    <t>Barra de la Cruz</t>
  </si>
  <si>
    <t>ANMO:4582</t>
  </si>
  <si>
    <t>ANMO:4583</t>
  </si>
  <si>
    <t>ANMO:4584</t>
  </si>
  <si>
    <t>ANMO:4585</t>
  </si>
  <si>
    <t>ANMO:4586</t>
  </si>
  <si>
    <t>ANMO:4587</t>
  </si>
  <si>
    <t>ANMO:4588</t>
  </si>
  <si>
    <t>ANMO:4589</t>
  </si>
  <si>
    <t>ANMO:4590</t>
  </si>
  <si>
    <t>ANMO:4591</t>
  </si>
  <si>
    <t>Vegetación riparia (playa de rio)</t>
  </si>
  <si>
    <t>La Arena, Puente Rio Verde II</t>
  </si>
  <si>
    <t>Aspidoscelis guttatus</t>
  </si>
  <si>
    <t>guttatus</t>
  </si>
  <si>
    <t>Cultivos</t>
  </si>
  <si>
    <t xml:space="preserve">Carretera 200, cerca de Rio Verde entre Santiago Jamiltepec and San José del Progreso </t>
  </si>
  <si>
    <t>Aspidoscelis guttatus (tail)</t>
  </si>
  <si>
    <t>immaculogularis</t>
  </si>
  <si>
    <t>Gekkonidae</t>
  </si>
  <si>
    <t>Phyllodactylus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</si>
</sst>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MX$&quot;#,##0.00"/>
    <numFmt numFmtId="165" formatCode="[$-F400]h:mm:ss\ AM/PM"/>
    <numFmt numFmtId="166" formatCode="h:mm;@"/>
  </numFmts>
  <fonts count="10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1" xfId="0" applyFont="1" applyBorder="1"/>
    <xf numFmtId="0" fontId="0" fillId="0" borderId="2" xfId="0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6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49" fontId="8" fillId="4" borderId="1" xfId="0" applyNumberFormat="1" applyFont="1" applyFill="1" applyBorder="1" applyAlignment="1">
      <alignment horizontal="left"/>
    </xf>
    <xf numFmtId="0" fontId="5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49" fontId="8" fillId="5" borderId="1" xfId="0" applyNumberFormat="1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5" fillId="5" borderId="1" xfId="0" applyFont="1" applyFill="1" applyBorder="1"/>
    <xf numFmtId="0" fontId="6" fillId="5" borderId="1" xfId="0" applyFont="1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96"/>
  <sheetViews>
    <sheetView tabSelected="1" topLeftCell="E1" workbookViewId="0">
      <selection activeCell="N6" sqref="N6"/>
    </sheetView>
  </sheetViews>
  <sheetFormatPr baseColWidth="10" defaultRowHeight="16" x14ac:dyDescent="0.2"/>
  <cols>
    <col min="1" max="4" width="0" hidden="1" customWidth="1"/>
    <col min="5" max="5" width="34.1640625" bestFit="1" customWidth="1"/>
    <col min="6" max="6" width="20" customWidth="1"/>
    <col min="7" max="35" width="10.83203125" customWidth="1"/>
  </cols>
  <sheetData>
    <row r="1" spans="1:73" s="8" customFormat="1" ht="14" customHeight="1" x14ac:dyDescent="0.2">
      <c r="A1" s="1"/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4" t="s">
        <v>9</v>
      </c>
      <c r="L1" s="2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2" t="s">
        <v>20</v>
      </c>
      <c r="W1" s="4" t="s">
        <v>21</v>
      </c>
      <c r="X1" s="4" t="s">
        <v>22</v>
      </c>
      <c r="Y1" s="2" t="s">
        <v>23</v>
      </c>
      <c r="Z1" s="4" t="s">
        <v>24</v>
      </c>
      <c r="AA1" s="4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/>
      <c r="AK1" s="4" t="s">
        <v>34</v>
      </c>
      <c r="AL1" s="4" t="s">
        <v>35</v>
      </c>
      <c r="AM1" s="4" t="s">
        <v>36</v>
      </c>
      <c r="AN1" s="4"/>
      <c r="AO1" s="4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4" t="s">
        <v>48</v>
      </c>
      <c r="BA1" s="4" t="s">
        <v>49</v>
      </c>
      <c r="BB1" s="4" t="s">
        <v>3</v>
      </c>
      <c r="BC1" s="4" t="s">
        <v>50</v>
      </c>
      <c r="BD1" s="2" t="s">
        <v>51</v>
      </c>
      <c r="BE1" s="5" t="s">
        <v>52</v>
      </c>
      <c r="BF1" s="5" t="s">
        <v>53</v>
      </c>
      <c r="BG1" s="2" t="s">
        <v>54</v>
      </c>
      <c r="BH1" s="2" t="s">
        <v>55</v>
      </c>
      <c r="BI1" s="1" t="s">
        <v>56</v>
      </c>
      <c r="BJ1" s="6" t="s">
        <v>57</v>
      </c>
      <c r="BK1" s="7" t="s">
        <v>58</v>
      </c>
      <c r="BL1" s="7" t="s">
        <v>59</v>
      </c>
      <c r="BM1" s="7" t="s">
        <v>60</v>
      </c>
      <c r="BN1" s="7" t="s">
        <v>61</v>
      </c>
      <c r="BO1" s="7" t="s">
        <v>62</v>
      </c>
      <c r="BP1" s="7" t="s">
        <v>63</v>
      </c>
      <c r="BQ1" s="7" t="s">
        <v>64</v>
      </c>
      <c r="BR1" s="7" t="s">
        <v>65</v>
      </c>
      <c r="BS1" s="4" t="s">
        <v>66</v>
      </c>
      <c r="BT1" s="4" t="s">
        <v>67</v>
      </c>
      <c r="BU1" s="4" t="s">
        <v>68</v>
      </c>
    </row>
    <row r="2" spans="1:73" s="9" customFormat="1" x14ac:dyDescent="0.2">
      <c r="B2" s="10" t="s">
        <v>69</v>
      </c>
      <c r="E2" s="9" t="s">
        <v>70</v>
      </c>
      <c r="F2" s="9" t="s">
        <v>71</v>
      </c>
      <c r="G2" s="9" t="s">
        <v>72</v>
      </c>
      <c r="H2" s="9" t="s">
        <v>73</v>
      </c>
      <c r="I2" s="9" t="s">
        <v>72</v>
      </c>
      <c r="J2" s="9" t="s">
        <v>74</v>
      </c>
      <c r="K2" s="9" t="s">
        <v>75</v>
      </c>
      <c r="L2" s="10">
        <v>1</v>
      </c>
      <c r="M2" s="9" t="s">
        <v>76</v>
      </c>
      <c r="R2" s="9" t="s">
        <v>77</v>
      </c>
      <c r="S2" s="9" t="s">
        <v>78</v>
      </c>
      <c r="V2" s="10"/>
      <c r="Y2" s="10"/>
      <c r="Z2" s="9" t="s">
        <v>79</v>
      </c>
      <c r="AB2" s="10"/>
      <c r="AC2" s="10">
        <v>2016</v>
      </c>
      <c r="AD2" s="10">
        <v>6</v>
      </c>
      <c r="AE2" s="10">
        <v>21</v>
      </c>
      <c r="AI2" s="9" t="s">
        <v>80</v>
      </c>
      <c r="AK2" s="9" t="s">
        <v>81</v>
      </c>
      <c r="AL2" s="9" t="s">
        <v>82</v>
      </c>
      <c r="AM2" s="9" t="s">
        <v>83</v>
      </c>
      <c r="AO2" s="9">
        <v>1034</v>
      </c>
      <c r="AP2" s="10">
        <f t="shared" ref="AP2:AP44" si="0">FLOOR(AV2,1)</f>
        <v>18</v>
      </c>
      <c r="AQ2" s="10">
        <f t="shared" ref="AQ2:AQ44" si="1">INT((AV2-AP2)*60)</f>
        <v>52</v>
      </c>
      <c r="AR2" s="10">
        <f t="shared" ref="AR2:AR44" si="2">(((AV2-AP2)*60)-AQ2)*60</f>
        <v>7.5720000000049481</v>
      </c>
      <c r="AS2" s="10">
        <f t="shared" ref="AS2:AS44" si="3">CEILING(AW2,1)</f>
        <v>98</v>
      </c>
      <c r="AT2" s="10">
        <f t="shared" ref="AT2:AT44" si="4">INT(((AW2-AS2)*60)*-1)</f>
        <v>58</v>
      </c>
      <c r="AU2" s="10">
        <f t="shared" ref="AU2:AU44" si="5">((((AW2-AS2)*60)*-1)-AT2)*60</f>
        <v>11.856000000001359</v>
      </c>
      <c r="AV2" s="10">
        <v>18.868770000000001</v>
      </c>
      <c r="AW2" s="10">
        <v>97.03004</v>
      </c>
      <c r="AX2" s="9" t="s">
        <v>84</v>
      </c>
      <c r="AY2" s="10">
        <v>2016</v>
      </c>
      <c r="BB2" s="9" t="s">
        <v>70</v>
      </c>
      <c r="BC2" s="9" t="s">
        <v>85</v>
      </c>
      <c r="BD2" s="11" t="s">
        <v>86</v>
      </c>
      <c r="BE2" s="12" t="s">
        <v>87</v>
      </c>
      <c r="BF2" s="12" t="s">
        <v>88</v>
      </c>
      <c r="BH2" s="9" t="s">
        <v>89</v>
      </c>
      <c r="BJ2" s="12"/>
    </row>
    <row r="3" spans="1:73" s="9" customFormat="1" x14ac:dyDescent="0.2">
      <c r="B3" s="10" t="s">
        <v>69</v>
      </c>
      <c r="E3" s="9" t="s">
        <v>90</v>
      </c>
      <c r="F3" s="9" t="s">
        <v>91</v>
      </c>
      <c r="G3" s="9" t="s">
        <v>72</v>
      </c>
      <c r="H3" s="9" t="s">
        <v>73</v>
      </c>
      <c r="I3" s="9" t="s">
        <v>72</v>
      </c>
      <c r="J3" s="9" t="s">
        <v>74</v>
      </c>
      <c r="K3" s="9" t="s">
        <v>75</v>
      </c>
      <c r="L3" s="10">
        <v>1</v>
      </c>
      <c r="M3" s="9" t="s">
        <v>76</v>
      </c>
      <c r="R3" s="9" t="s">
        <v>77</v>
      </c>
      <c r="S3" s="9" t="s">
        <v>78</v>
      </c>
      <c r="V3" s="10"/>
      <c r="Y3" s="10"/>
      <c r="Z3" s="9" t="s">
        <v>79</v>
      </c>
      <c r="AB3" s="10"/>
      <c r="AC3" s="10">
        <v>2016</v>
      </c>
      <c r="AD3" s="10">
        <v>6</v>
      </c>
      <c r="AE3" s="10">
        <v>21</v>
      </c>
      <c r="AI3" s="9" t="s">
        <v>80</v>
      </c>
      <c r="AK3" s="9" t="s">
        <v>81</v>
      </c>
      <c r="AL3" s="9" t="s">
        <v>82</v>
      </c>
      <c r="AM3" s="9" t="s">
        <v>83</v>
      </c>
      <c r="AO3" s="9">
        <v>1034</v>
      </c>
      <c r="AP3" s="10">
        <f t="shared" si="0"/>
        <v>18</v>
      </c>
      <c r="AQ3" s="10">
        <f t="shared" si="1"/>
        <v>52</v>
      </c>
      <c r="AR3" s="10">
        <f t="shared" si="2"/>
        <v>7.5720000000049481</v>
      </c>
      <c r="AS3" s="10">
        <f t="shared" si="3"/>
        <v>98</v>
      </c>
      <c r="AT3" s="10">
        <f t="shared" si="4"/>
        <v>58</v>
      </c>
      <c r="AU3" s="10">
        <f t="shared" si="5"/>
        <v>11.856000000001359</v>
      </c>
      <c r="AV3" s="10">
        <v>18.868770000000001</v>
      </c>
      <c r="AW3" s="10">
        <v>97.03004</v>
      </c>
      <c r="AX3" s="9" t="s">
        <v>84</v>
      </c>
      <c r="AY3" s="10">
        <v>2016</v>
      </c>
      <c r="BB3" s="9" t="s">
        <v>90</v>
      </c>
      <c r="BC3" s="9" t="s">
        <v>85</v>
      </c>
      <c r="BD3" s="11" t="s">
        <v>86</v>
      </c>
      <c r="BE3" s="12" t="s">
        <v>87</v>
      </c>
      <c r="BF3" s="12" t="s">
        <v>92</v>
      </c>
      <c r="BH3" s="9" t="s">
        <v>89</v>
      </c>
      <c r="BJ3" s="12"/>
    </row>
    <row r="4" spans="1:73" s="9" customFormat="1" x14ac:dyDescent="0.2">
      <c r="B4" s="10" t="s">
        <v>69</v>
      </c>
      <c r="E4" s="9" t="s">
        <v>93</v>
      </c>
      <c r="F4" s="9" t="s">
        <v>94</v>
      </c>
      <c r="G4" s="9" t="s">
        <v>72</v>
      </c>
      <c r="H4" s="9" t="s">
        <v>73</v>
      </c>
      <c r="I4" s="9" t="s">
        <v>72</v>
      </c>
      <c r="J4" s="9" t="s">
        <v>74</v>
      </c>
      <c r="K4" s="9" t="s">
        <v>75</v>
      </c>
      <c r="L4" s="10">
        <v>1</v>
      </c>
      <c r="M4" s="9" t="s">
        <v>76</v>
      </c>
      <c r="R4" s="9" t="s">
        <v>77</v>
      </c>
      <c r="S4" s="9" t="s">
        <v>78</v>
      </c>
      <c r="V4" s="10"/>
      <c r="Y4" s="10"/>
      <c r="Z4" s="9" t="s">
        <v>79</v>
      </c>
      <c r="AB4" s="13" t="s">
        <v>95</v>
      </c>
      <c r="AC4" s="10">
        <v>2016</v>
      </c>
      <c r="AD4" s="10">
        <v>6</v>
      </c>
      <c r="AE4" s="10">
        <v>22</v>
      </c>
      <c r="AF4" s="9" t="s">
        <v>96</v>
      </c>
      <c r="AG4" s="9" t="s">
        <v>97</v>
      </c>
      <c r="AI4" s="9" t="s">
        <v>80</v>
      </c>
      <c r="AK4" s="9" t="s">
        <v>98</v>
      </c>
      <c r="AL4" s="9" t="s">
        <v>99</v>
      </c>
      <c r="AM4" s="9" t="s">
        <v>100</v>
      </c>
      <c r="AO4" s="9">
        <v>2365</v>
      </c>
      <c r="AP4" s="10">
        <f t="shared" si="0"/>
        <v>19</v>
      </c>
      <c r="AQ4" s="10">
        <f t="shared" si="1"/>
        <v>24</v>
      </c>
      <c r="AR4" s="10">
        <f t="shared" si="2"/>
        <v>15.875999999994974</v>
      </c>
      <c r="AS4" s="10">
        <f t="shared" si="3"/>
        <v>98</v>
      </c>
      <c r="AT4" s="10">
        <f t="shared" si="4"/>
        <v>35</v>
      </c>
      <c r="AU4" s="10">
        <f t="shared" si="5"/>
        <v>47.040000000009741</v>
      </c>
      <c r="AV4" s="10">
        <v>19.404409999999999</v>
      </c>
      <c r="AW4" s="10">
        <v>97.403599999999997</v>
      </c>
      <c r="AX4" s="9" t="s">
        <v>72</v>
      </c>
      <c r="AY4" s="10">
        <v>2016</v>
      </c>
      <c r="BB4" s="9" t="s">
        <v>93</v>
      </c>
      <c r="BC4" s="9" t="s">
        <v>85</v>
      </c>
      <c r="BD4" s="9" t="s">
        <v>101</v>
      </c>
      <c r="BE4" s="12" t="s">
        <v>102</v>
      </c>
      <c r="BF4" s="12" t="s">
        <v>103</v>
      </c>
      <c r="BH4" s="9" t="s">
        <v>104</v>
      </c>
      <c r="BJ4" s="12"/>
    </row>
    <row r="5" spans="1:73" s="34" customFormat="1" x14ac:dyDescent="0.2">
      <c r="B5" s="35" t="s">
        <v>69</v>
      </c>
      <c r="E5" s="34" t="s">
        <v>105</v>
      </c>
      <c r="F5" s="34" t="s">
        <v>106</v>
      </c>
      <c r="G5" s="34" t="s">
        <v>72</v>
      </c>
      <c r="H5" s="34" t="s">
        <v>73</v>
      </c>
      <c r="I5" s="34" t="s">
        <v>72</v>
      </c>
      <c r="J5" s="34" t="s">
        <v>74</v>
      </c>
      <c r="K5" s="34" t="s">
        <v>75</v>
      </c>
      <c r="L5" s="35">
        <v>1</v>
      </c>
      <c r="M5" s="34" t="s">
        <v>76</v>
      </c>
      <c r="R5" s="34" t="s">
        <v>77</v>
      </c>
      <c r="S5" s="34" t="s">
        <v>78</v>
      </c>
      <c r="V5" s="35"/>
      <c r="Y5" s="35"/>
      <c r="Z5" s="34" t="s">
        <v>79</v>
      </c>
      <c r="AB5" s="36">
        <v>0.78472222222222221</v>
      </c>
      <c r="AC5" s="35">
        <v>2016</v>
      </c>
      <c r="AD5" s="35">
        <v>6</v>
      </c>
      <c r="AE5" s="35">
        <v>22</v>
      </c>
      <c r="AF5" s="34" t="s">
        <v>96</v>
      </c>
      <c r="AG5" s="34" t="s">
        <v>107</v>
      </c>
      <c r="AI5" s="34" t="s">
        <v>80</v>
      </c>
      <c r="AK5" s="34" t="s">
        <v>98</v>
      </c>
      <c r="AL5" s="34" t="s">
        <v>99</v>
      </c>
      <c r="AM5" s="34" t="s">
        <v>100</v>
      </c>
      <c r="AO5" s="34">
        <v>2365</v>
      </c>
      <c r="AP5" s="35">
        <f t="shared" si="0"/>
        <v>19</v>
      </c>
      <c r="AQ5" s="35">
        <f t="shared" si="1"/>
        <v>24</v>
      </c>
      <c r="AR5" s="35">
        <f t="shared" si="2"/>
        <v>15.875999999994974</v>
      </c>
      <c r="AS5" s="35">
        <f t="shared" si="3"/>
        <v>98</v>
      </c>
      <c r="AT5" s="35">
        <f t="shared" si="4"/>
        <v>35</v>
      </c>
      <c r="AU5" s="35">
        <f t="shared" si="5"/>
        <v>47.040000000009741</v>
      </c>
      <c r="AV5" s="35">
        <v>19.404409999999999</v>
      </c>
      <c r="AW5" s="35">
        <v>97.403599999999997</v>
      </c>
      <c r="AX5" s="34" t="s">
        <v>72</v>
      </c>
      <c r="AY5" s="35">
        <v>2016</v>
      </c>
      <c r="AZ5" s="34" t="s">
        <v>108</v>
      </c>
      <c r="BB5" s="34" t="s">
        <v>105</v>
      </c>
      <c r="BC5" s="34" t="s">
        <v>85</v>
      </c>
      <c r="BD5" s="37" t="s">
        <v>109</v>
      </c>
      <c r="BE5" s="38" t="s">
        <v>110</v>
      </c>
      <c r="BF5" s="39" t="s">
        <v>111</v>
      </c>
      <c r="BH5" s="34" t="s">
        <v>104</v>
      </c>
      <c r="BJ5" s="39" t="s">
        <v>111</v>
      </c>
    </row>
    <row r="6" spans="1:73" s="34" customFormat="1" x14ac:dyDescent="0.2">
      <c r="B6" s="35" t="s">
        <v>69</v>
      </c>
      <c r="E6" s="34" t="s">
        <v>105</v>
      </c>
      <c r="F6" s="34" t="s">
        <v>112</v>
      </c>
      <c r="G6" s="34" t="s">
        <v>72</v>
      </c>
      <c r="H6" s="34" t="s">
        <v>73</v>
      </c>
      <c r="I6" s="34" t="s">
        <v>72</v>
      </c>
      <c r="J6" s="34" t="s">
        <v>74</v>
      </c>
      <c r="K6" s="34" t="s">
        <v>75</v>
      </c>
      <c r="L6" s="35">
        <v>1</v>
      </c>
      <c r="M6" s="34" t="s">
        <v>76</v>
      </c>
      <c r="N6" s="34" t="s">
        <v>113</v>
      </c>
      <c r="O6" s="34" t="s">
        <v>114</v>
      </c>
      <c r="Q6" s="34" t="s">
        <v>115</v>
      </c>
      <c r="R6" s="34" t="s">
        <v>77</v>
      </c>
      <c r="S6" s="34" t="s">
        <v>78</v>
      </c>
      <c r="U6" s="34" t="s">
        <v>116</v>
      </c>
      <c r="V6" s="35"/>
      <c r="Y6" s="35"/>
      <c r="Z6" s="34" t="s">
        <v>79</v>
      </c>
      <c r="AB6" s="36" t="s">
        <v>117</v>
      </c>
      <c r="AC6" s="35">
        <v>2016</v>
      </c>
      <c r="AD6" s="35">
        <v>6</v>
      </c>
      <c r="AE6" s="35">
        <v>23</v>
      </c>
      <c r="AF6" s="34" t="s">
        <v>96</v>
      </c>
      <c r="AG6" s="34" t="s">
        <v>97</v>
      </c>
      <c r="AI6" s="34" t="s">
        <v>80</v>
      </c>
      <c r="AK6" s="34" t="s">
        <v>98</v>
      </c>
      <c r="AL6" s="34" t="s">
        <v>99</v>
      </c>
      <c r="AM6" s="34" t="s">
        <v>100</v>
      </c>
      <c r="AO6" s="34">
        <v>2365</v>
      </c>
      <c r="AP6" s="35">
        <f t="shared" si="0"/>
        <v>19</v>
      </c>
      <c r="AQ6" s="35">
        <f t="shared" si="1"/>
        <v>24</v>
      </c>
      <c r="AR6" s="35">
        <f t="shared" si="2"/>
        <v>15.875999999994974</v>
      </c>
      <c r="AS6" s="35">
        <f t="shared" si="3"/>
        <v>98</v>
      </c>
      <c r="AT6" s="35">
        <f t="shared" si="4"/>
        <v>35</v>
      </c>
      <c r="AU6" s="35">
        <f t="shared" si="5"/>
        <v>47.040000000009741</v>
      </c>
      <c r="AV6" s="35">
        <v>19.404409999999999</v>
      </c>
      <c r="AW6" s="35">
        <v>97.403599999999997</v>
      </c>
      <c r="AX6" s="34" t="s">
        <v>72</v>
      </c>
      <c r="AY6" s="35">
        <v>2016</v>
      </c>
      <c r="AZ6" s="34" t="s">
        <v>108</v>
      </c>
      <c r="BB6" s="34" t="s">
        <v>105</v>
      </c>
      <c r="BC6" s="34" t="s">
        <v>85</v>
      </c>
      <c r="BD6" s="37" t="s">
        <v>109</v>
      </c>
      <c r="BE6" s="38" t="s">
        <v>110</v>
      </c>
      <c r="BF6" s="39" t="s">
        <v>111</v>
      </c>
      <c r="BH6" s="34" t="s">
        <v>104</v>
      </c>
      <c r="BJ6" s="39" t="s">
        <v>111</v>
      </c>
    </row>
    <row r="7" spans="1:73" s="34" customFormat="1" x14ac:dyDescent="0.2">
      <c r="B7" s="35" t="s">
        <v>69</v>
      </c>
      <c r="E7" s="34" t="s">
        <v>105</v>
      </c>
      <c r="F7" s="34" t="s">
        <v>118</v>
      </c>
      <c r="G7" s="34" t="s">
        <v>72</v>
      </c>
      <c r="H7" s="34" t="s">
        <v>73</v>
      </c>
      <c r="I7" s="34" t="s">
        <v>72</v>
      </c>
      <c r="J7" s="34" t="s">
        <v>74</v>
      </c>
      <c r="K7" s="34" t="s">
        <v>75</v>
      </c>
      <c r="L7" s="35">
        <v>1</v>
      </c>
      <c r="M7" s="34" t="s">
        <v>76</v>
      </c>
      <c r="R7" s="34" t="s">
        <v>77</v>
      </c>
      <c r="S7" s="34" t="s">
        <v>78</v>
      </c>
      <c r="V7" s="35"/>
      <c r="Y7" s="35"/>
      <c r="Z7" s="34" t="s">
        <v>79</v>
      </c>
      <c r="AB7" s="36" t="s">
        <v>117</v>
      </c>
      <c r="AC7" s="35">
        <v>2016</v>
      </c>
      <c r="AD7" s="35">
        <v>6</v>
      </c>
      <c r="AE7" s="35">
        <v>23</v>
      </c>
      <c r="AF7" s="34" t="s">
        <v>96</v>
      </c>
      <c r="AG7" s="34" t="s">
        <v>97</v>
      </c>
      <c r="AI7" s="34" t="s">
        <v>80</v>
      </c>
      <c r="AK7" s="34" t="s">
        <v>98</v>
      </c>
      <c r="AL7" s="34" t="s">
        <v>99</v>
      </c>
      <c r="AM7" s="34" t="s">
        <v>100</v>
      </c>
      <c r="AO7" s="34">
        <v>2365</v>
      </c>
      <c r="AP7" s="35">
        <f t="shared" si="0"/>
        <v>19</v>
      </c>
      <c r="AQ7" s="35">
        <f t="shared" si="1"/>
        <v>24</v>
      </c>
      <c r="AR7" s="35">
        <f t="shared" si="2"/>
        <v>15.875999999994974</v>
      </c>
      <c r="AS7" s="35">
        <f t="shared" si="3"/>
        <v>98</v>
      </c>
      <c r="AT7" s="35">
        <f t="shared" si="4"/>
        <v>35</v>
      </c>
      <c r="AU7" s="35">
        <f t="shared" si="5"/>
        <v>47.040000000009741</v>
      </c>
      <c r="AV7" s="35">
        <v>19.404409999999999</v>
      </c>
      <c r="AW7" s="35">
        <v>97.403599999999997</v>
      </c>
      <c r="AX7" s="34" t="s">
        <v>72</v>
      </c>
      <c r="AY7" s="35">
        <v>2016</v>
      </c>
      <c r="AZ7" s="34" t="s">
        <v>108</v>
      </c>
      <c r="BB7" s="34" t="s">
        <v>105</v>
      </c>
      <c r="BC7" s="34" t="s">
        <v>85</v>
      </c>
      <c r="BD7" s="37" t="s">
        <v>109</v>
      </c>
      <c r="BE7" s="38" t="s">
        <v>110</v>
      </c>
      <c r="BF7" s="39" t="s">
        <v>111</v>
      </c>
      <c r="BH7" s="34" t="s">
        <v>104</v>
      </c>
      <c r="BJ7" s="39" t="s">
        <v>111</v>
      </c>
    </row>
    <row r="8" spans="1:73" s="24" customFormat="1" x14ac:dyDescent="0.2">
      <c r="B8" s="25" t="s">
        <v>69</v>
      </c>
      <c r="E8" s="24" t="s">
        <v>105</v>
      </c>
      <c r="F8" s="24" t="s">
        <v>119</v>
      </c>
      <c r="G8" s="24" t="s">
        <v>72</v>
      </c>
      <c r="H8" s="24" t="s">
        <v>73</v>
      </c>
      <c r="I8" s="24" t="s">
        <v>72</v>
      </c>
      <c r="J8" s="24" t="s">
        <v>74</v>
      </c>
      <c r="K8" s="24" t="s">
        <v>75</v>
      </c>
      <c r="L8" s="25">
        <v>1</v>
      </c>
      <c r="M8" s="24" t="s">
        <v>76</v>
      </c>
      <c r="R8" s="24" t="s">
        <v>77</v>
      </c>
      <c r="S8" s="24" t="s">
        <v>78</v>
      </c>
      <c r="V8" s="25"/>
      <c r="Y8" s="25"/>
      <c r="Z8" s="24" t="s">
        <v>79</v>
      </c>
      <c r="AB8" s="26" t="s">
        <v>117</v>
      </c>
      <c r="AC8" s="25">
        <v>2016</v>
      </c>
      <c r="AD8" s="25">
        <v>6</v>
      </c>
      <c r="AE8" s="25">
        <v>23</v>
      </c>
      <c r="AF8" s="24" t="s">
        <v>96</v>
      </c>
      <c r="AG8" s="24" t="s">
        <v>97</v>
      </c>
      <c r="AI8" s="24" t="s">
        <v>80</v>
      </c>
      <c r="AK8" s="24" t="s">
        <v>98</v>
      </c>
      <c r="AL8" s="24" t="s">
        <v>99</v>
      </c>
      <c r="AM8" s="24" t="s">
        <v>100</v>
      </c>
      <c r="AO8" s="24">
        <v>2365</v>
      </c>
      <c r="AP8" s="25">
        <f t="shared" si="0"/>
        <v>19</v>
      </c>
      <c r="AQ8" s="25">
        <f t="shared" si="1"/>
        <v>24</v>
      </c>
      <c r="AR8" s="25">
        <f t="shared" si="2"/>
        <v>15.875999999994974</v>
      </c>
      <c r="AS8" s="25">
        <f t="shared" si="3"/>
        <v>98</v>
      </c>
      <c r="AT8" s="25">
        <f t="shared" si="4"/>
        <v>35</v>
      </c>
      <c r="AU8" s="25">
        <f t="shared" si="5"/>
        <v>47.040000000009741</v>
      </c>
      <c r="AV8" s="25">
        <v>19.404409999999999</v>
      </c>
      <c r="AW8" s="25">
        <v>97.403599999999997</v>
      </c>
      <c r="AX8" s="24" t="s">
        <v>72</v>
      </c>
      <c r="AY8" s="25">
        <v>2016</v>
      </c>
      <c r="AZ8" s="24" t="s">
        <v>108</v>
      </c>
      <c r="BB8" s="24" t="s">
        <v>105</v>
      </c>
      <c r="BC8" s="24" t="s">
        <v>85</v>
      </c>
      <c r="BD8" s="27" t="s">
        <v>109</v>
      </c>
      <c r="BE8" s="28" t="s">
        <v>110</v>
      </c>
      <c r="BF8" s="29" t="s">
        <v>111</v>
      </c>
      <c r="BH8" s="24" t="s">
        <v>104</v>
      </c>
      <c r="BJ8" s="29" t="s">
        <v>111</v>
      </c>
    </row>
    <row r="9" spans="1:73" s="9" customFormat="1" x14ac:dyDescent="0.2">
      <c r="B9" s="10" t="s">
        <v>69</v>
      </c>
      <c r="E9" s="9" t="s">
        <v>105</v>
      </c>
      <c r="F9" s="9" t="s">
        <v>120</v>
      </c>
      <c r="G9" s="9" t="s">
        <v>72</v>
      </c>
      <c r="H9" s="9" t="s">
        <v>73</v>
      </c>
      <c r="I9" s="9" t="s">
        <v>72</v>
      </c>
      <c r="J9" s="9" t="s">
        <v>74</v>
      </c>
      <c r="K9" s="9" t="s">
        <v>75</v>
      </c>
      <c r="L9" s="10">
        <v>1</v>
      </c>
      <c r="M9" s="9" t="s">
        <v>76</v>
      </c>
      <c r="R9" s="9" t="s">
        <v>77</v>
      </c>
      <c r="S9" s="9" t="s">
        <v>78</v>
      </c>
      <c r="V9" s="10"/>
      <c r="Y9" s="10"/>
      <c r="Z9" s="9" t="s">
        <v>79</v>
      </c>
      <c r="AB9" s="14" t="s">
        <v>117</v>
      </c>
      <c r="AC9" s="10">
        <v>2016</v>
      </c>
      <c r="AD9" s="10">
        <v>6</v>
      </c>
      <c r="AE9" s="10">
        <v>23</v>
      </c>
      <c r="AF9" s="9" t="s">
        <v>96</v>
      </c>
      <c r="AG9" s="9" t="s">
        <v>97</v>
      </c>
      <c r="AI9" s="9" t="s">
        <v>80</v>
      </c>
      <c r="AK9" s="9" t="s">
        <v>98</v>
      </c>
      <c r="AL9" s="9" t="s">
        <v>99</v>
      </c>
      <c r="AM9" s="9" t="s">
        <v>100</v>
      </c>
      <c r="AO9" s="9">
        <v>2365</v>
      </c>
      <c r="AP9" s="10">
        <f t="shared" si="0"/>
        <v>19</v>
      </c>
      <c r="AQ9" s="10">
        <f t="shared" si="1"/>
        <v>24</v>
      </c>
      <c r="AR9" s="10">
        <f t="shared" si="2"/>
        <v>15.875999999994974</v>
      </c>
      <c r="AS9" s="10">
        <f t="shared" si="3"/>
        <v>98</v>
      </c>
      <c r="AT9" s="10">
        <f t="shared" si="4"/>
        <v>35</v>
      </c>
      <c r="AU9" s="10">
        <f t="shared" si="5"/>
        <v>47.040000000009741</v>
      </c>
      <c r="AV9" s="10">
        <v>19.404409999999999</v>
      </c>
      <c r="AW9" s="10">
        <v>97.403599999999997</v>
      </c>
      <c r="AX9" s="9" t="s">
        <v>72</v>
      </c>
      <c r="AY9" s="10">
        <v>2016</v>
      </c>
      <c r="AZ9" s="9" t="s">
        <v>108</v>
      </c>
      <c r="BB9" s="9" t="s">
        <v>105</v>
      </c>
      <c r="BC9" s="9" t="s">
        <v>85</v>
      </c>
      <c r="BD9" s="15" t="s">
        <v>109</v>
      </c>
      <c r="BE9" s="16" t="s">
        <v>110</v>
      </c>
      <c r="BF9" s="17" t="s">
        <v>111</v>
      </c>
      <c r="BH9" s="9" t="s">
        <v>104</v>
      </c>
      <c r="BJ9" s="17" t="s">
        <v>111</v>
      </c>
    </row>
    <row r="10" spans="1:73" s="9" customFormat="1" x14ac:dyDescent="0.2">
      <c r="B10" s="10" t="s">
        <v>69</v>
      </c>
      <c r="E10" s="9" t="s">
        <v>105</v>
      </c>
      <c r="F10" s="9" t="s">
        <v>121</v>
      </c>
      <c r="G10" s="9" t="s">
        <v>72</v>
      </c>
      <c r="H10" s="9" t="s">
        <v>73</v>
      </c>
      <c r="I10" s="9" t="s">
        <v>72</v>
      </c>
      <c r="J10" s="9" t="s">
        <v>74</v>
      </c>
      <c r="K10" s="9" t="s">
        <v>75</v>
      </c>
      <c r="L10" s="10">
        <v>1</v>
      </c>
      <c r="M10" s="9" t="s">
        <v>76</v>
      </c>
      <c r="R10" s="9" t="s">
        <v>77</v>
      </c>
      <c r="S10" s="9" t="s">
        <v>78</v>
      </c>
      <c r="V10" s="10"/>
      <c r="Y10" s="10"/>
      <c r="Z10" s="9" t="s">
        <v>79</v>
      </c>
      <c r="AB10" s="14" t="s">
        <v>117</v>
      </c>
      <c r="AC10" s="10">
        <v>2016</v>
      </c>
      <c r="AD10" s="10">
        <v>6</v>
      </c>
      <c r="AE10" s="10">
        <v>23</v>
      </c>
      <c r="AF10" s="9" t="s">
        <v>96</v>
      </c>
      <c r="AG10" s="9" t="s">
        <v>97</v>
      </c>
      <c r="AI10" s="9" t="s">
        <v>80</v>
      </c>
      <c r="AK10" s="9" t="s">
        <v>98</v>
      </c>
      <c r="AL10" s="9" t="s">
        <v>99</v>
      </c>
      <c r="AM10" s="9" t="s">
        <v>100</v>
      </c>
      <c r="AO10" s="9">
        <v>2365</v>
      </c>
      <c r="AP10" s="10">
        <f t="shared" si="0"/>
        <v>19</v>
      </c>
      <c r="AQ10" s="10">
        <f t="shared" si="1"/>
        <v>24</v>
      </c>
      <c r="AR10" s="10">
        <f t="shared" si="2"/>
        <v>15.875999999994974</v>
      </c>
      <c r="AS10" s="10">
        <f t="shared" si="3"/>
        <v>98</v>
      </c>
      <c r="AT10" s="10">
        <f t="shared" si="4"/>
        <v>35</v>
      </c>
      <c r="AU10" s="10">
        <f t="shared" si="5"/>
        <v>47.040000000009741</v>
      </c>
      <c r="AV10" s="10">
        <v>19.404409999999999</v>
      </c>
      <c r="AW10" s="10">
        <v>97.403599999999997</v>
      </c>
      <c r="AX10" s="9" t="s">
        <v>72</v>
      </c>
      <c r="AY10" s="10">
        <v>2016</v>
      </c>
      <c r="AZ10" s="9" t="s">
        <v>108</v>
      </c>
      <c r="BB10" s="9" t="s">
        <v>105</v>
      </c>
      <c r="BC10" s="9" t="s">
        <v>85</v>
      </c>
      <c r="BD10" s="15" t="s">
        <v>109</v>
      </c>
      <c r="BE10" s="16" t="s">
        <v>110</v>
      </c>
      <c r="BF10" s="17" t="s">
        <v>111</v>
      </c>
      <c r="BH10" s="9" t="s">
        <v>104</v>
      </c>
      <c r="BJ10" s="17" t="s">
        <v>111</v>
      </c>
    </row>
    <row r="11" spans="1:73" s="24" customFormat="1" x14ac:dyDescent="0.2">
      <c r="B11" s="25" t="s">
        <v>69</v>
      </c>
      <c r="E11" s="24" t="s">
        <v>122</v>
      </c>
      <c r="F11" s="24" t="s">
        <v>123</v>
      </c>
      <c r="G11" s="24" t="s">
        <v>72</v>
      </c>
      <c r="H11" s="24" t="s">
        <v>73</v>
      </c>
      <c r="I11" s="24" t="s">
        <v>72</v>
      </c>
      <c r="J11" s="24" t="s">
        <v>74</v>
      </c>
      <c r="K11" s="24" t="s">
        <v>75</v>
      </c>
      <c r="L11" s="25">
        <v>1</v>
      </c>
      <c r="M11" s="24" t="s">
        <v>76</v>
      </c>
      <c r="Q11" s="24" t="s">
        <v>124</v>
      </c>
      <c r="R11" s="24" t="s">
        <v>77</v>
      </c>
      <c r="S11" s="24" t="s">
        <v>78</v>
      </c>
      <c r="V11" s="25"/>
      <c r="Y11" s="25"/>
      <c r="Z11" s="24" t="s">
        <v>79</v>
      </c>
      <c r="AB11" s="26" t="s">
        <v>125</v>
      </c>
      <c r="AC11" s="25">
        <v>2016</v>
      </c>
      <c r="AD11" s="25">
        <v>6</v>
      </c>
      <c r="AE11" s="25">
        <v>24</v>
      </c>
      <c r="AF11" s="24" t="s">
        <v>126</v>
      </c>
      <c r="AG11" s="24" t="s">
        <v>97</v>
      </c>
      <c r="AI11" s="24" t="s">
        <v>80</v>
      </c>
      <c r="AK11" s="24" t="s">
        <v>81</v>
      </c>
      <c r="AM11" s="24" t="s">
        <v>127</v>
      </c>
      <c r="AO11" s="24">
        <v>0</v>
      </c>
      <c r="AP11" s="25">
        <f t="shared" si="0"/>
        <v>20</v>
      </c>
      <c r="AQ11" s="25">
        <f t="shared" si="1"/>
        <v>25</v>
      </c>
      <c r="AR11" s="25">
        <f t="shared" si="2"/>
        <v>21.54000000000309</v>
      </c>
      <c r="AS11" s="25">
        <f t="shared" si="3"/>
        <v>97</v>
      </c>
      <c r="AT11" s="25">
        <f t="shared" si="4"/>
        <v>2</v>
      </c>
      <c r="AU11" s="25">
        <f t="shared" si="5"/>
        <v>26.951999999987493</v>
      </c>
      <c r="AV11" s="25">
        <v>20.422650000000001</v>
      </c>
      <c r="AW11" s="25">
        <v>96.959180000000003</v>
      </c>
      <c r="AX11" s="24" t="s">
        <v>72</v>
      </c>
      <c r="AY11" s="25">
        <v>2016</v>
      </c>
      <c r="AZ11" s="24" t="s">
        <v>128</v>
      </c>
      <c r="BB11" s="24" t="s">
        <v>122</v>
      </c>
      <c r="BC11" s="24" t="s">
        <v>85</v>
      </c>
      <c r="BD11" s="27" t="s">
        <v>109</v>
      </c>
      <c r="BE11" s="28" t="s">
        <v>110</v>
      </c>
      <c r="BF11" s="31" t="s">
        <v>129</v>
      </c>
      <c r="BH11" s="24" t="s">
        <v>104</v>
      </c>
      <c r="BJ11" s="30" t="s">
        <v>130</v>
      </c>
    </row>
    <row r="12" spans="1:73" s="34" customFormat="1" x14ac:dyDescent="0.2">
      <c r="B12" s="35" t="s">
        <v>69</v>
      </c>
      <c r="E12" s="34" t="s">
        <v>122</v>
      </c>
      <c r="F12" s="34" t="s">
        <v>131</v>
      </c>
      <c r="G12" s="34" t="s">
        <v>72</v>
      </c>
      <c r="H12" s="34" t="s">
        <v>73</v>
      </c>
      <c r="I12" s="34" t="s">
        <v>72</v>
      </c>
      <c r="J12" s="34" t="s">
        <v>74</v>
      </c>
      <c r="K12" s="34" t="s">
        <v>75</v>
      </c>
      <c r="L12" s="35">
        <v>1</v>
      </c>
      <c r="M12" s="34" t="s">
        <v>76</v>
      </c>
      <c r="Q12" s="34" t="s">
        <v>124</v>
      </c>
      <c r="R12" s="34" t="s">
        <v>77</v>
      </c>
      <c r="S12" s="34" t="s">
        <v>78</v>
      </c>
      <c r="V12" s="35"/>
      <c r="Y12" s="35"/>
      <c r="Z12" s="34" t="s">
        <v>79</v>
      </c>
      <c r="AB12" s="36" t="s">
        <v>125</v>
      </c>
      <c r="AC12" s="35">
        <v>2016</v>
      </c>
      <c r="AD12" s="35">
        <v>6</v>
      </c>
      <c r="AE12" s="35">
        <v>24</v>
      </c>
      <c r="AF12" s="34" t="s">
        <v>126</v>
      </c>
      <c r="AG12" s="34" t="s">
        <v>97</v>
      </c>
      <c r="AI12" s="34" t="s">
        <v>80</v>
      </c>
      <c r="AK12" s="34" t="s">
        <v>81</v>
      </c>
      <c r="AM12" s="34" t="s">
        <v>127</v>
      </c>
      <c r="AO12" s="34">
        <v>0</v>
      </c>
      <c r="AP12" s="35">
        <f t="shared" si="0"/>
        <v>20</v>
      </c>
      <c r="AQ12" s="35">
        <f t="shared" si="1"/>
        <v>25</v>
      </c>
      <c r="AR12" s="35">
        <f t="shared" si="2"/>
        <v>21.54000000000309</v>
      </c>
      <c r="AS12" s="35">
        <f t="shared" si="3"/>
        <v>97</v>
      </c>
      <c r="AT12" s="35">
        <f t="shared" si="4"/>
        <v>2</v>
      </c>
      <c r="AU12" s="35">
        <f t="shared" si="5"/>
        <v>26.951999999987493</v>
      </c>
      <c r="AV12" s="35">
        <v>20.422650000000001</v>
      </c>
      <c r="AW12" s="35">
        <v>96.959180000000003</v>
      </c>
      <c r="AX12" s="34" t="s">
        <v>72</v>
      </c>
      <c r="AY12" s="35">
        <v>2016</v>
      </c>
      <c r="AZ12" s="34" t="s">
        <v>128</v>
      </c>
      <c r="BB12" s="34" t="s">
        <v>122</v>
      </c>
      <c r="BC12" s="34" t="s">
        <v>85</v>
      </c>
      <c r="BD12" s="37" t="s">
        <v>109</v>
      </c>
      <c r="BE12" s="38" t="s">
        <v>110</v>
      </c>
      <c r="BF12" s="40" t="s">
        <v>129</v>
      </c>
      <c r="BH12" s="34" t="s">
        <v>104</v>
      </c>
      <c r="BJ12" s="41" t="s">
        <v>130</v>
      </c>
    </row>
    <row r="13" spans="1:73" s="9" customFormat="1" x14ac:dyDescent="0.2">
      <c r="B13" s="10" t="s">
        <v>69</v>
      </c>
      <c r="E13" s="9" t="s">
        <v>122</v>
      </c>
      <c r="F13" s="9" t="s">
        <v>132</v>
      </c>
      <c r="G13" s="9" t="s">
        <v>72</v>
      </c>
      <c r="H13" s="9" t="s">
        <v>73</v>
      </c>
      <c r="I13" s="9" t="s">
        <v>72</v>
      </c>
      <c r="J13" s="9" t="s">
        <v>74</v>
      </c>
      <c r="K13" s="9" t="s">
        <v>75</v>
      </c>
      <c r="L13" s="10">
        <v>1</v>
      </c>
      <c r="M13" s="9" t="s">
        <v>76</v>
      </c>
      <c r="Q13" s="9" t="s">
        <v>124</v>
      </c>
      <c r="R13" s="9" t="s">
        <v>77</v>
      </c>
      <c r="S13" s="9" t="s">
        <v>78</v>
      </c>
      <c r="V13" s="10"/>
      <c r="Y13" s="10"/>
      <c r="Z13" s="9" t="s">
        <v>79</v>
      </c>
      <c r="AB13" s="14" t="s">
        <v>125</v>
      </c>
      <c r="AC13" s="10">
        <v>2016</v>
      </c>
      <c r="AD13" s="10">
        <v>6</v>
      </c>
      <c r="AE13" s="10">
        <v>24</v>
      </c>
      <c r="AF13" s="9" t="s">
        <v>126</v>
      </c>
      <c r="AG13" s="9" t="s">
        <v>97</v>
      </c>
      <c r="AI13" s="9" t="s">
        <v>80</v>
      </c>
      <c r="AK13" s="9" t="s">
        <v>81</v>
      </c>
      <c r="AM13" s="9" t="s">
        <v>127</v>
      </c>
      <c r="AO13" s="9">
        <v>0</v>
      </c>
      <c r="AP13" s="10">
        <f t="shared" si="0"/>
        <v>20</v>
      </c>
      <c r="AQ13" s="10">
        <f t="shared" si="1"/>
        <v>25</v>
      </c>
      <c r="AR13" s="10">
        <f t="shared" si="2"/>
        <v>21.54000000000309</v>
      </c>
      <c r="AS13" s="10">
        <f t="shared" si="3"/>
        <v>97</v>
      </c>
      <c r="AT13" s="10">
        <f t="shared" si="4"/>
        <v>2</v>
      </c>
      <c r="AU13" s="10">
        <f t="shared" si="5"/>
        <v>26.951999999987493</v>
      </c>
      <c r="AV13" s="10">
        <v>20.422650000000001</v>
      </c>
      <c r="AW13" s="10">
        <v>96.959180000000003</v>
      </c>
      <c r="AX13" s="9" t="s">
        <v>72</v>
      </c>
      <c r="AY13" s="10">
        <v>2016</v>
      </c>
      <c r="AZ13" s="9" t="s">
        <v>128</v>
      </c>
      <c r="BB13" s="9" t="s">
        <v>122</v>
      </c>
      <c r="BC13" s="9" t="s">
        <v>85</v>
      </c>
      <c r="BD13" s="15" t="s">
        <v>109</v>
      </c>
      <c r="BE13" s="16" t="s">
        <v>110</v>
      </c>
      <c r="BF13" s="18" t="s">
        <v>129</v>
      </c>
      <c r="BH13" s="9" t="s">
        <v>104</v>
      </c>
      <c r="BJ13" s="12" t="s">
        <v>130</v>
      </c>
    </row>
    <row r="14" spans="1:73" s="9" customFormat="1" x14ac:dyDescent="0.2">
      <c r="B14" s="10" t="s">
        <v>69</v>
      </c>
      <c r="E14" s="9" t="s">
        <v>122</v>
      </c>
      <c r="F14" s="9" t="s">
        <v>133</v>
      </c>
      <c r="G14" s="9" t="s">
        <v>72</v>
      </c>
      <c r="H14" s="9" t="s">
        <v>73</v>
      </c>
      <c r="I14" s="9" t="s">
        <v>72</v>
      </c>
      <c r="J14" s="9" t="s">
        <v>74</v>
      </c>
      <c r="K14" s="9" t="s">
        <v>75</v>
      </c>
      <c r="L14" s="10">
        <v>1</v>
      </c>
      <c r="M14" s="9" t="s">
        <v>76</v>
      </c>
      <c r="Q14" s="9" t="s">
        <v>124</v>
      </c>
      <c r="R14" s="9" t="s">
        <v>77</v>
      </c>
      <c r="S14" s="9" t="s">
        <v>78</v>
      </c>
      <c r="V14" s="10"/>
      <c r="Y14" s="10"/>
      <c r="Z14" s="9" t="s">
        <v>79</v>
      </c>
      <c r="AB14" s="14" t="s">
        <v>125</v>
      </c>
      <c r="AC14" s="10">
        <v>2016</v>
      </c>
      <c r="AD14" s="10">
        <v>6</v>
      </c>
      <c r="AE14" s="10">
        <v>24</v>
      </c>
      <c r="AF14" s="9" t="s">
        <v>126</v>
      </c>
      <c r="AG14" s="9" t="s">
        <v>97</v>
      </c>
      <c r="AI14" s="9" t="s">
        <v>80</v>
      </c>
      <c r="AK14" s="9" t="s">
        <v>81</v>
      </c>
      <c r="AM14" s="9" t="s">
        <v>127</v>
      </c>
      <c r="AO14" s="9">
        <v>0</v>
      </c>
      <c r="AP14" s="10">
        <f t="shared" si="0"/>
        <v>20</v>
      </c>
      <c r="AQ14" s="10">
        <f t="shared" si="1"/>
        <v>25</v>
      </c>
      <c r="AR14" s="10">
        <f t="shared" si="2"/>
        <v>21.54000000000309</v>
      </c>
      <c r="AS14" s="10">
        <f t="shared" si="3"/>
        <v>97</v>
      </c>
      <c r="AT14" s="10">
        <f t="shared" si="4"/>
        <v>2</v>
      </c>
      <c r="AU14" s="10">
        <f t="shared" si="5"/>
        <v>26.951999999987493</v>
      </c>
      <c r="AV14" s="10">
        <v>20.422650000000001</v>
      </c>
      <c r="AW14" s="10">
        <v>96.959180000000003</v>
      </c>
      <c r="AX14" s="9" t="s">
        <v>72</v>
      </c>
      <c r="AY14" s="10">
        <v>2016</v>
      </c>
      <c r="AZ14" s="9" t="s">
        <v>128</v>
      </c>
      <c r="BB14" s="9" t="s">
        <v>122</v>
      </c>
      <c r="BC14" s="9" t="s">
        <v>85</v>
      </c>
      <c r="BD14" s="15" t="s">
        <v>109</v>
      </c>
      <c r="BE14" s="16" t="s">
        <v>110</v>
      </c>
      <c r="BF14" s="18" t="s">
        <v>129</v>
      </c>
      <c r="BH14" s="9" t="s">
        <v>104</v>
      </c>
      <c r="BJ14" s="12" t="s">
        <v>130</v>
      </c>
    </row>
    <row r="15" spans="1:73" s="9" customFormat="1" x14ac:dyDescent="0.2">
      <c r="B15" s="10" t="s">
        <v>69</v>
      </c>
      <c r="E15" s="9" t="s">
        <v>122</v>
      </c>
      <c r="F15" s="9" t="s">
        <v>134</v>
      </c>
      <c r="G15" s="9" t="s">
        <v>72</v>
      </c>
      <c r="H15" s="9" t="s">
        <v>73</v>
      </c>
      <c r="I15" s="9" t="s">
        <v>72</v>
      </c>
      <c r="J15" s="9" t="s">
        <v>74</v>
      </c>
      <c r="K15" s="9" t="s">
        <v>75</v>
      </c>
      <c r="L15" s="10">
        <v>1</v>
      </c>
      <c r="M15" s="9" t="s">
        <v>76</v>
      </c>
      <c r="Q15" s="9" t="s">
        <v>124</v>
      </c>
      <c r="R15" s="9" t="s">
        <v>77</v>
      </c>
      <c r="S15" s="9" t="s">
        <v>78</v>
      </c>
      <c r="V15" s="10"/>
      <c r="Y15" s="10"/>
      <c r="Z15" s="9" t="s">
        <v>79</v>
      </c>
      <c r="AB15" s="14" t="s">
        <v>125</v>
      </c>
      <c r="AC15" s="10">
        <v>2016</v>
      </c>
      <c r="AD15" s="10">
        <v>6</v>
      </c>
      <c r="AE15" s="10">
        <v>24</v>
      </c>
      <c r="AF15" s="9" t="s">
        <v>126</v>
      </c>
      <c r="AG15" s="9" t="s">
        <v>97</v>
      </c>
      <c r="AI15" s="9" t="s">
        <v>80</v>
      </c>
      <c r="AK15" s="9" t="s">
        <v>81</v>
      </c>
      <c r="AM15" s="9" t="s">
        <v>127</v>
      </c>
      <c r="AO15" s="9">
        <v>0</v>
      </c>
      <c r="AP15" s="10">
        <f t="shared" si="0"/>
        <v>20</v>
      </c>
      <c r="AQ15" s="10">
        <f t="shared" si="1"/>
        <v>25</v>
      </c>
      <c r="AR15" s="10">
        <f t="shared" si="2"/>
        <v>21.54000000000309</v>
      </c>
      <c r="AS15" s="10">
        <f t="shared" si="3"/>
        <v>97</v>
      </c>
      <c r="AT15" s="10">
        <f t="shared" si="4"/>
        <v>2</v>
      </c>
      <c r="AU15" s="10">
        <f t="shared" si="5"/>
        <v>26.951999999987493</v>
      </c>
      <c r="AV15" s="10">
        <v>20.422650000000001</v>
      </c>
      <c r="AW15" s="10">
        <v>96.959180000000003</v>
      </c>
      <c r="AX15" s="9" t="s">
        <v>72</v>
      </c>
      <c r="AY15" s="10">
        <v>2016</v>
      </c>
      <c r="AZ15" s="9" t="s">
        <v>128</v>
      </c>
      <c r="BB15" s="9" t="s">
        <v>122</v>
      </c>
      <c r="BC15" s="9" t="s">
        <v>85</v>
      </c>
      <c r="BD15" s="15" t="s">
        <v>109</v>
      </c>
      <c r="BE15" s="16" t="s">
        <v>110</v>
      </c>
      <c r="BF15" s="18" t="s">
        <v>129</v>
      </c>
      <c r="BH15" s="9" t="s">
        <v>104</v>
      </c>
      <c r="BJ15" s="12" t="s">
        <v>130</v>
      </c>
    </row>
    <row r="16" spans="1:73" s="9" customFormat="1" x14ac:dyDescent="0.2">
      <c r="B16" s="10" t="s">
        <v>69</v>
      </c>
      <c r="E16" s="9" t="s">
        <v>122</v>
      </c>
      <c r="F16" s="9" t="s">
        <v>135</v>
      </c>
      <c r="G16" s="9" t="s">
        <v>72</v>
      </c>
      <c r="H16" s="9" t="s">
        <v>73</v>
      </c>
      <c r="I16" s="9" t="s">
        <v>72</v>
      </c>
      <c r="J16" s="9" t="s">
        <v>74</v>
      </c>
      <c r="K16" s="9" t="s">
        <v>75</v>
      </c>
      <c r="L16" s="10">
        <v>1</v>
      </c>
      <c r="M16" s="9" t="s">
        <v>76</v>
      </c>
      <c r="Q16" s="9" t="s">
        <v>124</v>
      </c>
      <c r="R16" s="9" t="s">
        <v>77</v>
      </c>
      <c r="S16" s="9" t="s">
        <v>78</v>
      </c>
      <c r="V16" s="10"/>
      <c r="Y16" s="10"/>
      <c r="Z16" s="9" t="s">
        <v>79</v>
      </c>
      <c r="AB16" s="14" t="s">
        <v>125</v>
      </c>
      <c r="AC16" s="10">
        <v>2016</v>
      </c>
      <c r="AD16" s="10">
        <v>6</v>
      </c>
      <c r="AE16" s="10">
        <v>24</v>
      </c>
      <c r="AF16" s="9" t="s">
        <v>126</v>
      </c>
      <c r="AG16" s="9" t="s">
        <v>97</v>
      </c>
      <c r="AI16" s="9" t="s">
        <v>80</v>
      </c>
      <c r="AK16" s="9" t="s">
        <v>81</v>
      </c>
      <c r="AM16" s="9" t="s">
        <v>127</v>
      </c>
      <c r="AO16" s="9">
        <v>0</v>
      </c>
      <c r="AP16" s="10">
        <f t="shared" si="0"/>
        <v>20</v>
      </c>
      <c r="AQ16" s="10">
        <f t="shared" si="1"/>
        <v>25</v>
      </c>
      <c r="AR16" s="10">
        <f t="shared" si="2"/>
        <v>21.54000000000309</v>
      </c>
      <c r="AS16" s="10">
        <f t="shared" si="3"/>
        <v>97</v>
      </c>
      <c r="AT16" s="10">
        <f t="shared" si="4"/>
        <v>2</v>
      </c>
      <c r="AU16" s="10">
        <f t="shared" si="5"/>
        <v>26.951999999987493</v>
      </c>
      <c r="AV16" s="10">
        <v>20.422650000000001</v>
      </c>
      <c r="AW16" s="10">
        <v>96.959180000000003</v>
      </c>
      <c r="AX16" s="9" t="s">
        <v>72</v>
      </c>
      <c r="AY16" s="10">
        <v>2016</v>
      </c>
      <c r="AZ16" s="9" t="s">
        <v>128</v>
      </c>
      <c r="BB16" s="9" t="s">
        <v>122</v>
      </c>
      <c r="BC16" s="9" t="s">
        <v>85</v>
      </c>
      <c r="BD16" s="15" t="s">
        <v>109</v>
      </c>
      <c r="BE16" s="16" t="s">
        <v>110</v>
      </c>
      <c r="BF16" s="18" t="s">
        <v>129</v>
      </c>
      <c r="BH16" s="9" t="s">
        <v>104</v>
      </c>
      <c r="BJ16" s="12" t="s">
        <v>130</v>
      </c>
    </row>
    <row r="17" spans="2:62" s="34" customFormat="1" x14ac:dyDescent="0.2">
      <c r="B17" s="35" t="s">
        <v>69</v>
      </c>
      <c r="E17" s="34" t="s">
        <v>136</v>
      </c>
      <c r="F17" s="34" t="s">
        <v>137</v>
      </c>
      <c r="G17" s="34" t="s">
        <v>72</v>
      </c>
      <c r="H17" s="34" t="s">
        <v>73</v>
      </c>
      <c r="I17" s="34" t="s">
        <v>72</v>
      </c>
      <c r="J17" s="34" t="s">
        <v>74</v>
      </c>
      <c r="K17" s="34" t="s">
        <v>75</v>
      </c>
      <c r="L17" s="35">
        <v>1</v>
      </c>
      <c r="M17" s="34" t="s">
        <v>76</v>
      </c>
      <c r="Q17" s="34" t="s">
        <v>124</v>
      </c>
      <c r="R17" s="34" t="s">
        <v>77</v>
      </c>
      <c r="S17" s="34" t="s">
        <v>78</v>
      </c>
      <c r="V17" s="35"/>
      <c r="Y17" s="35"/>
      <c r="Z17" s="34" t="s">
        <v>79</v>
      </c>
      <c r="AB17" s="36" t="s">
        <v>125</v>
      </c>
      <c r="AC17" s="35">
        <v>2016</v>
      </c>
      <c r="AD17" s="35">
        <v>6</v>
      </c>
      <c r="AE17" s="35">
        <v>24</v>
      </c>
      <c r="AF17" s="34" t="s">
        <v>126</v>
      </c>
      <c r="AG17" s="34" t="s">
        <v>97</v>
      </c>
      <c r="AH17" s="34" t="s">
        <v>138</v>
      </c>
      <c r="AI17" s="34" t="s">
        <v>80</v>
      </c>
      <c r="AK17" s="34" t="s">
        <v>81</v>
      </c>
      <c r="AM17" s="34" t="s">
        <v>127</v>
      </c>
      <c r="AO17" s="34">
        <v>0</v>
      </c>
      <c r="AP17" s="35">
        <f t="shared" si="0"/>
        <v>20</v>
      </c>
      <c r="AQ17" s="35">
        <f t="shared" si="1"/>
        <v>25</v>
      </c>
      <c r="AR17" s="35">
        <f t="shared" si="2"/>
        <v>21.54000000000309</v>
      </c>
      <c r="AS17" s="35">
        <f t="shared" si="3"/>
        <v>97</v>
      </c>
      <c r="AT17" s="35">
        <f t="shared" si="4"/>
        <v>2</v>
      </c>
      <c r="AU17" s="35">
        <f t="shared" si="5"/>
        <v>26.951999999987493</v>
      </c>
      <c r="AV17" s="35">
        <v>20.422650000000001</v>
      </c>
      <c r="AW17" s="35">
        <v>96.959180000000003</v>
      </c>
      <c r="AX17" s="34" t="s">
        <v>72</v>
      </c>
      <c r="AY17" s="35">
        <v>2016</v>
      </c>
      <c r="BB17" s="34" t="s">
        <v>136</v>
      </c>
      <c r="BC17" s="34" t="s">
        <v>85</v>
      </c>
      <c r="BD17" s="37" t="s">
        <v>109</v>
      </c>
      <c r="BE17" s="38" t="s">
        <v>110</v>
      </c>
      <c r="BF17" s="41" t="s">
        <v>139</v>
      </c>
      <c r="BH17" s="34" t="s">
        <v>104</v>
      </c>
      <c r="BJ17" s="41" t="s">
        <v>139</v>
      </c>
    </row>
    <row r="18" spans="2:62" s="24" customFormat="1" x14ac:dyDescent="0.2">
      <c r="B18" s="25" t="s">
        <v>69</v>
      </c>
      <c r="E18" s="24" t="s">
        <v>136</v>
      </c>
      <c r="F18" s="24" t="s">
        <v>140</v>
      </c>
      <c r="G18" s="24" t="s">
        <v>72</v>
      </c>
      <c r="H18" s="24" t="s">
        <v>73</v>
      </c>
      <c r="I18" s="24" t="s">
        <v>72</v>
      </c>
      <c r="J18" s="24" t="s">
        <v>74</v>
      </c>
      <c r="K18" s="24" t="s">
        <v>75</v>
      </c>
      <c r="L18" s="25">
        <v>1</v>
      </c>
      <c r="M18" s="24" t="s">
        <v>76</v>
      </c>
      <c r="Q18" s="24" t="s">
        <v>124</v>
      </c>
      <c r="R18" s="24" t="s">
        <v>77</v>
      </c>
      <c r="S18" s="24" t="s">
        <v>78</v>
      </c>
      <c r="V18" s="25"/>
      <c r="Y18" s="25"/>
      <c r="Z18" s="24" t="s">
        <v>79</v>
      </c>
      <c r="AB18" s="26" t="s">
        <v>125</v>
      </c>
      <c r="AC18" s="25">
        <v>2016</v>
      </c>
      <c r="AD18" s="25">
        <v>6</v>
      </c>
      <c r="AE18" s="25">
        <v>24</v>
      </c>
      <c r="AF18" s="24" t="s">
        <v>126</v>
      </c>
      <c r="AG18" s="24" t="s">
        <v>97</v>
      </c>
      <c r="AH18" s="24" t="s">
        <v>138</v>
      </c>
      <c r="AI18" s="24" t="s">
        <v>80</v>
      </c>
      <c r="AK18" s="24" t="s">
        <v>81</v>
      </c>
      <c r="AM18" s="24" t="s">
        <v>127</v>
      </c>
      <c r="AO18" s="24">
        <v>0</v>
      </c>
      <c r="AP18" s="25">
        <f t="shared" si="0"/>
        <v>20</v>
      </c>
      <c r="AQ18" s="25">
        <f t="shared" si="1"/>
        <v>25</v>
      </c>
      <c r="AR18" s="25">
        <f t="shared" si="2"/>
        <v>21.54000000000309</v>
      </c>
      <c r="AS18" s="25">
        <f t="shared" si="3"/>
        <v>97</v>
      </c>
      <c r="AT18" s="25">
        <f t="shared" si="4"/>
        <v>2</v>
      </c>
      <c r="AU18" s="25">
        <f t="shared" si="5"/>
        <v>26.951999999987493</v>
      </c>
      <c r="AV18" s="25">
        <v>20.422650000000001</v>
      </c>
      <c r="AW18" s="25">
        <v>96.959180000000003</v>
      </c>
      <c r="AX18" s="24" t="s">
        <v>72</v>
      </c>
      <c r="AY18" s="25">
        <v>2016</v>
      </c>
      <c r="BB18" s="24" t="s">
        <v>136</v>
      </c>
      <c r="BC18" s="24" t="s">
        <v>85</v>
      </c>
      <c r="BD18" s="27" t="s">
        <v>109</v>
      </c>
      <c r="BE18" s="28" t="s">
        <v>110</v>
      </c>
      <c r="BF18" s="30" t="s">
        <v>139</v>
      </c>
      <c r="BH18" s="24" t="s">
        <v>104</v>
      </c>
      <c r="BJ18" s="30" t="s">
        <v>139</v>
      </c>
    </row>
    <row r="19" spans="2:62" s="9" customFormat="1" x14ac:dyDescent="0.2">
      <c r="B19" s="10" t="s">
        <v>69</v>
      </c>
      <c r="E19" s="9" t="s">
        <v>141</v>
      </c>
      <c r="F19" s="9" t="s">
        <v>142</v>
      </c>
      <c r="G19" s="9" t="s">
        <v>72</v>
      </c>
      <c r="H19" s="9" t="s">
        <v>73</v>
      </c>
      <c r="I19" s="9" t="s">
        <v>72</v>
      </c>
      <c r="J19" s="9" t="s">
        <v>74</v>
      </c>
      <c r="K19" s="9" t="s">
        <v>75</v>
      </c>
      <c r="L19" s="10">
        <v>1</v>
      </c>
      <c r="M19" s="9" t="s">
        <v>76</v>
      </c>
      <c r="Q19" s="9" t="s">
        <v>124</v>
      </c>
      <c r="R19" s="9" t="s">
        <v>77</v>
      </c>
      <c r="S19" s="9" t="s">
        <v>78</v>
      </c>
      <c r="V19" s="10"/>
      <c r="Y19" s="10"/>
      <c r="Z19" s="9" t="s">
        <v>79</v>
      </c>
      <c r="AB19" s="14" t="s">
        <v>125</v>
      </c>
      <c r="AC19" s="10">
        <v>2016</v>
      </c>
      <c r="AD19" s="10">
        <v>6</v>
      </c>
      <c r="AE19" s="10">
        <v>24</v>
      </c>
      <c r="AF19" s="9" t="s">
        <v>126</v>
      </c>
      <c r="AG19" s="9" t="s">
        <v>97</v>
      </c>
      <c r="AI19" s="9" t="s">
        <v>80</v>
      </c>
      <c r="AK19" s="9" t="s">
        <v>81</v>
      </c>
      <c r="AM19" s="9" t="s">
        <v>127</v>
      </c>
      <c r="AO19" s="9">
        <v>0</v>
      </c>
      <c r="AP19" s="10">
        <f t="shared" si="0"/>
        <v>20</v>
      </c>
      <c r="AQ19" s="10">
        <f t="shared" si="1"/>
        <v>25</v>
      </c>
      <c r="AR19" s="10">
        <f t="shared" si="2"/>
        <v>21.54000000000309</v>
      </c>
      <c r="AS19" s="10">
        <f t="shared" si="3"/>
        <v>97</v>
      </c>
      <c r="AT19" s="10">
        <f t="shared" si="4"/>
        <v>2</v>
      </c>
      <c r="AU19" s="10">
        <f t="shared" si="5"/>
        <v>26.951999999987493</v>
      </c>
      <c r="AV19" s="10">
        <v>20.422650000000001</v>
      </c>
      <c r="AW19" s="10">
        <v>96.959180000000003</v>
      </c>
      <c r="AX19" s="9" t="s">
        <v>72</v>
      </c>
      <c r="AY19" s="10">
        <v>2016</v>
      </c>
      <c r="BB19" s="9" t="s">
        <v>141</v>
      </c>
      <c r="BC19" s="9" t="s">
        <v>85</v>
      </c>
      <c r="BD19" s="9" t="s">
        <v>101</v>
      </c>
      <c r="BE19" s="12" t="s">
        <v>143</v>
      </c>
      <c r="BF19" s="12" t="s">
        <v>144</v>
      </c>
      <c r="BH19" s="9" t="s">
        <v>104</v>
      </c>
      <c r="BJ19" s="12"/>
    </row>
    <row r="20" spans="2:62" s="9" customFormat="1" x14ac:dyDescent="0.2">
      <c r="B20" s="10" t="s">
        <v>69</v>
      </c>
      <c r="E20" s="9" t="s">
        <v>141</v>
      </c>
      <c r="F20" s="9" t="s">
        <v>145</v>
      </c>
      <c r="G20" s="9" t="s">
        <v>72</v>
      </c>
      <c r="H20" s="9" t="s">
        <v>73</v>
      </c>
      <c r="I20" s="9" t="s">
        <v>72</v>
      </c>
      <c r="J20" s="9" t="s">
        <v>74</v>
      </c>
      <c r="K20" s="9" t="s">
        <v>75</v>
      </c>
      <c r="L20" s="10">
        <v>1</v>
      </c>
      <c r="M20" s="9" t="s">
        <v>76</v>
      </c>
      <c r="Q20" s="9" t="s">
        <v>124</v>
      </c>
      <c r="R20" s="9" t="s">
        <v>77</v>
      </c>
      <c r="S20" s="9" t="s">
        <v>78</v>
      </c>
      <c r="V20" s="10"/>
      <c r="Y20" s="10"/>
      <c r="Z20" s="9" t="s">
        <v>79</v>
      </c>
      <c r="AB20" s="14" t="s">
        <v>125</v>
      </c>
      <c r="AC20" s="10">
        <v>2016</v>
      </c>
      <c r="AD20" s="10">
        <v>6</v>
      </c>
      <c r="AE20" s="10">
        <v>24</v>
      </c>
      <c r="AF20" s="9" t="s">
        <v>126</v>
      </c>
      <c r="AG20" s="9" t="s">
        <v>97</v>
      </c>
      <c r="AI20" s="9" t="s">
        <v>80</v>
      </c>
      <c r="AK20" s="9" t="s">
        <v>81</v>
      </c>
      <c r="AM20" s="9" t="s">
        <v>127</v>
      </c>
      <c r="AO20" s="9">
        <v>0</v>
      </c>
      <c r="AP20" s="10">
        <f t="shared" si="0"/>
        <v>20</v>
      </c>
      <c r="AQ20" s="10">
        <f t="shared" si="1"/>
        <v>25</v>
      </c>
      <c r="AR20" s="10">
        <f t="shared" si="2"/>
        <v>21.54000000000309</v>
      </c>
      <c r="AS20" s="10">
        <f t="shared" si="3"/>
        <v>97</v>
      </c>
      <c r="AT20" s="10">
        <f t="shared" si="4"/>
        <v>2</v>
      </c>
      <c r="AU20" s="10">
        <f t="shared" si="5"/>
        <v>26.951999999987493</v>
      </c>
      <c r="AV20" s="10">
        <v>20.422650000000001</v>
      </c>
      <c r="AW20" s="10">
        <v>96.959180000000003</v>
      </c>
      <c r="AX20" s="9" t="s">
        <v>72</v>
      </c>
      <c r="AY20" s="10">
        <v>2016</v>
      </c>
      <c r="BB20" s="9" t="s">
        <v>141</v>
      </c>
      <c r="BC20" s="9" t="s">
        <v>85</v>
      </c>
      <c r="BD20" s="9" t="s">
        <v>101</v>
      </c>
      <c r="BE20" s="12" t="s">
        <v>143</v>
      </c>
      <c r="BF20" s="12" t="s">
        <v>144</v>
      </c>
      <c r="BH20" s="9" t="s">
        <v>104</v>
      </c>
      <c r="BJ20" s="12"/>
    </row>
    <row r="21" spans="2:62" s="9" customFormat="1" x14ac:dyDescent="0.2">
      <c r="B21" s="10" t="s">
        <v>69</v>
      </c>
      <c r="E21" s="9" t="s">
        <v>146</v>
      </c>
      <c r="F21" s="9" t="s">
        <v>147</v>
      </c>
      <c r="G21" s="9" t="s">
        <v>72</v>
      </c>
      <c r="H21" s="9" t="s">
        <v>73</v>
      </c>
      <c r="I21" s="9" t="s">
        <v>72</v>
      </c>
      <c r="J21" s="9" t="s">
        <v>74</v>
      </c>
      <c r="K21" s="9" t="s">
        <v>75</v>
      </c>
      <c r="L21" s="10">
        <v>1</v>
      </c>
      <c r="M21" s="9" t="s">
        <v>76</v>
      </c>
      <c r="Q21" s="9" t="s">
        <v>148</v>
      </c>
      <c r="R21" s="9" t="s">
        <v>77</v>
      </c>
      <c r="S21" s="9" t="s">
        <v>78</v>
      </c>
      <c r="V21" s="10"/>
      <c r="Y21" s="10"/>
      <c r="Z21" s="9" t="s">
        <v>79</v>
      </c>
      <c r="AB21" s="14" t="s">
        <v>125</v>
      </c>
      <c r="AC21" s="10">
        <v>2016</v>
      </c>
      <c r="AD21" s="10">
        <v>6</v>
      </c>
      <c r="AE21" s="10">
        <v>24</v>
      </c>
      <c r="AF21" s="9" t="s">
        <v>126</v>
      </c>
      <c r="AG21" s="9" t="s">
        <v>97</v>
      </c>
      <c r="AI21" s="9" t="s">
        <v>80</v>
      </c>
      <c r="AK21" s="9" t="s">
        <v>81</v>
      </c>
      <c r="AM21" s="9" t="s">
        <v>127</v>
      </c>
      <c r="AO21" s="9">
        <v>0</v>
      </c>
      <c r="AP21" s="10">
        <f t="shared" si="0"/>
        <v>20</v>
      </c>
      <c r="AQ21" s="10">
        <f t="shared" si="1"/>
        <v>25</v>
      </c>
      <c r="AR21" s="10">
        <f t="shared" si="2"/>
        <v>21.54000000000309</v>
      </c>
      <c r="AS21" s="10">
        <f t="shared" si="3"/>
        <v>97</v>
      </c>
      <c r="AT21" s="10">
        <f t="shared" si="4"/>
        <v>2</v>
      </c>
      <c r="AU21" s="10">
        <f t="shared" si="5"/>
        <v>26.951999999987493</v>
      </c>
      <c r="AV21" s="10">
        <v>20.422650000000001</v>
      </c>
      <c r="AW21" s="10">
        <v>96.959180000000003</v>
      </c>
      <c r="AX21" s="9" t="s">
        <v>72</v>
      </c>
      <c r="AY21" s="10">
        <v>2016</v>
      </c>
      <c r="BB21" s="9" t="s">
        <v>146</v>
      </c>
      <c r="BC21" s="9" t="s">
        <v>85</v>
      </c>
      <c r="BD21" s="9" t="s">
        <v>101</v>
      </c>
      <c r="BE21" s="12" t="s">
        <v>149</v>
      </c>
      <c r="BF21" s="12" t="s">
        <v>150</v>
      </c>
      <c r="BH21" s="9" t="s">
        <v>104</v>
      </c>
      <c r="BJ21" s="12"/>
    </row>
    <row r="22" spans="2:62" s="24" customFormat="1" x14ac:dyDescent="0.2">
      <c r="B22" s="25" t="s">
        <v>69</v>
      </c>
      <c r="E22" s="24" t="s">
        <v>136</v>
      </c>
      <c r="F22" s="24" t="s">
        <v>151</v>
      </c>
      <c r="G22" s="24" t="s">
        <v>72</v>
      </c>
      <c r="H22" s="24" t="s">
        <v>73</v>
      </c>
      <c r="I22" s="24" t="s">
        <v>72</v>
      </c>
      <c r="J22" s="24" t="s">
        <v>74</v>
      </c>
      <c r="K22" s="24" t="s">
        <v>75</v>
      </c>
      <c r="L22" s="25">
        <v>1</v>
      </c>
      <c r="M22" s="24" t="s">
        <v>76</v>
      </c>
      <c r="O22" s="24" t="s">
        <v>152</v>
      </c>
      <c r="Q22" s="24" t="s">
        <v>124</v>
      </c>
      <c r="R22" s="24" t="s">
        <v>77</v>
      </c>
      <c r="S22" s="24" t="s">
        <v>78</v>
      </c>
      <c r="V22" s="25"/>
      <c r="Y22" s="25"/>
      <c r="Z22" s="24" t="s">
        <v>79</v>
      </c>
      <c r="AB22" s="26" t="s">
        <v>153</v>
      </c>
      <c r="AC22" s="25">
        <v>2016</v>
      </c>
      <c r="AD22" s="25">
        <v>6</v>
      </c>
      <c r="AE22" s="25">
        <v>24</v>
      </c>
      <c r="AF22" s="24" t="s">
        <v>126</v>
      </c>
      <c r="AG22" s="24" t="s">
        <v>97</v>
      </c>
      <c r="AI22" s="24" t="s">
        <v>80</v>
      </c>
      <c r="AK22" s="24" t="s">
        <v>81</v>
      </c>
      <c r="AM22" s="24" t="s">
        <v>154</v>
      </c>
      <c r="AO22" s="24">
        <v>0</v>
      </c>
      <c r="AP22" s="25">
        <f t="shared" si="0"/>
        <v>20</v>
      </c>
      <c r="AQ22" s="25">
        <f t="shared" si="1"/>
        <v>9</v>
      </c>
      <c r="AR22" s="25">
        <f t="shared" si="2"/>
        <v>12.45599999999655</v>
      </c>
      <c r="AS22" s="25">
        <f t="shared" si="3"/>
        <v>97</v>
      </c>
      <c r="AT22" s="25">
        <f t="shared" si="4"/>
        <v>17</v>
      </c>
      <c r="AU22" s="25">
        <f t="shared" si="5"/>
        <v>42.755999999990308</v>
      </c>
      <c r="AV22" s="25">
        <v>20.153459999999999</v>
      </c>
      <c r="AW22" s="25">
        <v>96.704790000000003</v>
      </c>
      <c r="AX22" s="24" t="s">
        <v>72</v>
      </c>
      <c r="AY22" s="25">
        <v>2017</v>
      </c>
      <c r="BB22" s="24" t="s">
        <v>136</v>
      </c>
      <c r="BC22" s="24" t="s">
        <v>85</v>
      </c>
      <c r="BD22" s="27" t="s">
        <v>109</v>
      </c>
      <c r="BE22" s="28" t="s">
        <v>110</v>
      </c>
      <c r="BF22" s="30" t="s">
        <v>139</v>
      </c>
      <c r="BH22" s="24" t="s">
        <v>104</v>
      </c>
      <c r="BJ22" s="30" t="s">
        <v>139</v>
      </c>
    </row>
    <row r="23" spans="2:62" s="34" customFormat="1" x14ac:dyDescent="0.2">
      <c r="B23" s="35" t="s">
        <v>69</v>
      </c>
      <c r="E23" s="34" t="s">
        <v>136</v>
      </c>
      <c r="F23" s="34" t="s">
        <v>155</v>
      </c>
      <c r="G23" s="34" t="s">
        <v>72</v>
      </c>
      <c r="H23" s="34" t="s">
        <v>73</v>
      </c>
      <c r="I23" s="34" t="s">
        <v>72</v>
      </c>
      <c r="J23" s="34" t="s">
        <v>74</v>
      </c>
      <c r="K23" s="34" t="s">
        <v>75</v>
      </c>
      <c r="L23" s="35">
        <v>1</v>
      </c>
      <c r="M23" s="34" t="s">
        <v>76</v>
      </c>
      <c r="O23" s="34" t="s">
        <v>152</v>
      </c>
      <c r="Q23" s="34" t="s">
        <v>124</v>
      </c>
      <c r="R23" s="34" t="s">
        <v>77</v>
      </c>
      <c r="S23" s="34" t="s">
        <v>78</v>
      </c>
      <c r="V23" s="35"/>
      <c r="Y23" s="35"/>
      <c r="Z23" s="34" t="s">
        <v>79</v>
      </c>
      <c r="AB23" s="36" t="s">
        <v>153</v>
      </c>
      <c r="AC23" s="35">
        <v>2016</v>
      </c>
      <c r="AD23" s="35">
        <v>6</v>
      </c>
      <c r="AE23" s="35">
        <v>24</v>
      </c>
      <c r="AF23" s="34" t="s">
        <v>126</v>
      </c>
      <c r="AG23" s="34" t="s">
        <v>97</v>
      </c>
      <c r="AI23" s="34" t="s">
        <v>80</v>
      </c>
      <c r="AK23" s="34" t="s">
        <v>81</v>
      </c>
      <c r="AM23" s="34" t="s">
        <v>154</v>
      </c>
      <c r="AO23" s="34">
        <v>0</v>
      </c>
      <c r="AP23" s="35">
        <f t="shared" si="0"/>
        <v>20</v>
      </c>
      <c r="AQ23" s="35">
        <f t="shared" si="1"/>
        <v>9</v>
      </c>
      <c r="AR23" s="35">
        <f t="shared" si="2"/>
        <v>12.45599999999655</v>
      </c>
      <c r="AS23" s="35">
        <f t="shared" si="3"/>
        <v>97</v>
      </c>
      <c r="AT23" s="35">
        <f t="shared" si="4"/>
        <v>17</v>
      </c>
      <c r="AU23" s="35">
        <f t="shared" si="5"/>
        <v>42.755999999990308</v>
      </c>
      <c r="AV23" s="35">
        <v>20.153459999999999</v>
      </c>
      <c r="AW23" s="35">
        <v>96.704790000000003</v>
      </c>
      <c r="AX23" s="34" t="s">
        <v>72</v>
      </c>
      <c r="AY23" s="35">
        <v>2018</v>
      </c>
      <c r="BB23" s="34" t="s">
        <v>136</v>
      </c>
      <c r="BC23" s="34" t="s">
        <v>85</v>
      </c>
      <c r="BD23" s="37" t="s">
        <v>109</v>
      </c>
      <c r="BE23" s="38" t="s">
        <v>110</v>
      </c>
      <c r="BF23" s="41" t="s">
        <v>139</v>
      </c>
      <c r="BH23" s="34" t="s">
        <v>104</v>
      </c>
      <c r="BJ23" s="41" t="s">
        <v>139</v>
      </c>
    </row>
    <row r="24" spans="2:62" s="24" customFormat="1" x14ac:dyDescent="0.2">
      <c r="B24" s="25" t="s">
        <v>69</v>
      </c>
      <c r="E24" s="24" t="s">
        <v>122</v>
      </c>
      <c r="F24" s="24" t="s">
        <v>156</v>
      </c>
      <c r="G24" s="24" t="s">
        <v>72</v>
      </c>
      <c r="H24" s="24" t="s">
        <v>73</v>
      </c>
      <c r="I24" s="24" t="s">
        <v>72</v>
      </c>
      <c r="J24" s="24" t="s">
        <v>74</v>
      </c>
      <c r="K24" s="24" t="s">
        <v>75</v>
      </c>
      <c r="L24" s="25">
        <v>1</v>
      </c>
      <c r="M24" s="24" t="s">
        <v>76</v>
      </c>
      <c r="Q24" s="24" t="s">
        <v>124</v>
      </c>
      <c r="R24" s="24" t="s">
        <v>77</v>
      </c>
      <c r="S24" s="24" t="s">
        <v>78</v>
      </c>
      <c r="V24" s="25"/>
      <c r="Y24" s="25"/>
      <c r="Z24" s="24" t="s">
        <v>79</v>
      </c>
      <c r="AB24" s="26" t="s">
        <v>157</v>
      </c>
      <c r="AC24" s="25">
        <v>2016</v>
      </c>
      <c r="AD24" s="25">
        <v>6</v>
      </c>
      <c r="AE24" s="25">
        <v>25</v>
      </c>
      <c r="AF24" s="24" t="s">
        <v>158</v>
      </c>
      <c r="AG24" s="24" t="s">
        <v>97</v>
      </c>
      <c r="AI24" s="24" t="s">
        <v>80</v>
      </c>
      <c r="AK24" s="24" t="s">
        <v>81</v>
      </c>
      <c r="AM24" s="24" t="s">
        <v>159</v>
      </c>
      <c r="AO24" s="24">
        <v>17</v>
      </c>
      <c r="AP24" s="25">
        <f t="shared" si="0"/>
        <v>18</v>
      </c>
      <c r="AQ24" s="25">
        <f t="shared" si="1"/>
        <v>33</v>
      </c>
      <c r="AR24" s="25">
        <f t="shared" si="2"/>
        <v>26.280000000005259</v>
      </c>
      <c r="AS24" s="25">
        <f t="shared" si="3"/>
        <v>96</v>
      </c>
      <c r="AT24" s="25">
        <f t="shared" si="4"/>
        <v>16</v>
      </c>
      <c r="AU24" s="25">
        <f t="shared" si="5"/>
        <v>27.659999999993943</v>
      </c>
      <c r="AV24" s="25">
        <v>18.557300000000001</v>
      </c>
      <c r="AW24" s="25">
        <v>95.725650000000002</v>
      </c>
      <c r="AX24" s="24" t="s">
        <v>72</v>
      </c>
      <c r="AY24" s="25">
        <v>2016</v>
      </c>
      <c r="BB24" s="24" t="s">
        <v>122</v>
      </c>
      <c r="BC24" s="24" t="s">
        <v>85</v>
      </c>
      <c r="BD24" s="27" t="s">
        <v>109</v>
      </c>
      <c r="BE24" s="28" t="s">
        <v>110</v>
      </c>
      <c r="BF24" s="31" t="s">
        <v>129</v>
      </c>
      <c r="BH24" s="24" t="s">
        <v>104</v>
      </c>
      <c r="BJ24" s="29" t="s">
        <v>129</v>
      </c>
    </row>
    <row r="25" spans="2:62" s="34" customFormat="1" x14ac:dyDescent="0.2">
      <c r="B25" s="35" t="s">
        <v>69</v>
      </c>
      <c r="E25" s="34" t="s">
        <v>122</v>
      </c>
      <c r="F25" s="34" t="s">
        <v>160</v>
      </c>
      <c r="G25" s="34" t="s">
        <v>72</v>
      </c>
      <c r="H25" s="34" t="s">
        <v>73</v>
      </c>
      <c r="I25" s="34" t="s">
        <v>72</v>
      </c>
      <c r="J25" s="34" t="s">
        <v>74</v>
      </c>
      <c r="K25" s="34" t="s">
        <v>75</v>
      </c>
      <c r="L25" s="35">
        <v>1</v>
      </c>
      <c r="M25" s="34" t="s">
        <v>76</v>
      </c>
      <c r="Q25" s="34" t="s">
        <v>124</v>
      </c>
      <c r="R25" s="34" t="s">
        <v>77</v>
      </c>
      <c r="S25" s="34" t="s">
        <v>78</v>
      </c>
      <c r="V25" s="35"/>
      <c r="Y25" s="35"/>
      <c r="Z25" s="34" t="s">
        <v>79</v>
      </c>
      <c r="AB25" s="36" t="s">
        <v>157</v>
      </c>
      <c r="AC25" s="35">
        <v>2016</v>
      </c>
      <c r="AD25" s="35">
        <v>6</v>
      </c>
      <c r="AE25" s="35">
        <v>25</v>
      </c>
      <c r="AF25" s="34" t="s">
        <v>158</v>
      </c>
      <c r="AG25" s="34" t="s">
        <v>97</v>
      </c>
      <c r="AI25" s="34" t="s">
        <v>80</v>
      </c>
      <c r="AK25" s="34" t="s">
        <v>81</v>
      </c>
      <c r="AM25" s="34" t="s">
        <v>159</v>
      </c>
      <c r="AO25" s="34">
        <v>17</v>
      </c>
      <c r="AP25" s="35">
        <f t="shared" si="0"/>
        <v>18</v>
      </c>
      <c r="AQ25" s="35">
        <f t="shared" si="1"/>
        <v>33</v>
      </c>
      <c r="AR25" s="35">
        <f t="shared" si="2"/>
        <v>26.280000000005259</v>
      </c>
      <c r="AS25" s="35">
        <f t="shared" si="3"/>
        <v>96</v>
      </c>
      <c r="AT25" s="35">
        <f t="shared" si="4"/>
        <v>16</v>
      </c>
      <c r="AU25" s="35">
        <f t="shared" si="5"/>
        <v>27.659999999993943</v>
      </c>
      <c r="AV25" s="35">
        <v>18.557300000000001</v>
      </c>
      <c r="AW25" s="35">
        <v>95.725650000000002</v>
      </c>
      <c r="AX25" s="34" t="s">
        <v>72</v>
      </c>
      <c r="AY25" s="35">
        <v>2016</v>
      </c>
      <c r="BB25" s="34" t="s">
        <v>122</v>
      </c>
      <c r="BC25" s="34" t="s">
        <v>85</v>
      </c>
      <c r="BD25" s="37" t="s">
        <v>109</v>
      </c>
      <c r="BE25" s="38" t="s">
        <v>110</v>
      </c>
      <c r="BF25" s="40" t="s">
        <v>129</v>
      </c>
      <c r="BH25" s="34" t="s">
        <v>104</v>
      </c>
      <c r="BJ25" s="39" t="s">
        <v>129</v>
      </c>
    </row>
    <row r="26" spans="2:62" s="9" customFormat="1" x14ac:dyDescent="0.2">
      <c r="B26" s="10" t="s">
        <v>69</v>
      </c>
      <c r="E26" s="9" t="s">
        <v>122</v>
      </c>
      <c r="F26" s="9" t="s">
        <v>161</v>
      </c>
      <c r="G26" s="9" t="s">
        <v>72</v>
      </c>
      <c r="H26" s="9" t="s">
        <v>73</v>
      </c>
      <c r="I26" s="9" t="s">
        <v>72</v>
      </c>
      <c r="J26" s="9" t="s">
        <v>74</v>
      </c>
      <c r="K26" s="9" t="s">
        <v>75</v>
      </c>
      <c r="L26" s="10">
        <v>1</v>
      </c>
      <c r="M26" s="9" t="s">
        <v>76</v>
      </c>
      <c r="Q26" s="9" t="s">
        <v>124</v>
      </c>
      <c r="R26" s="9" t="s">
        <v>77</v>
      </c>
      <c r="S26" s="9" t="s">
        <v>78</v>
      </c>
      <c r="V26" s="10"/>
      <c r="Y26" s="10"/>
      <c r="Z26" s="9" t="s">
        <v>79</v>
      </c>
      <c r="AB26" s="14" t="s">
        <v>157</v>
      </c>
      <c r="AC26" s="10">
        <v>2016</v>
      </c>
      <c r="AD26" s="10">
        <v>6</v>
      </c>
      <c r="AE26" s="10">
        <v>25</v>
      </c>
      <c r="AF26" s="9" t="s">
        <v>158</v>
      </c>
      <c r="AG26" s="9" t="s">
        <v>97</v>
      </c>
      <c r="AI26" s="9" t="s">
        <v>80</v>
      </c>
      <c r="AK26" s="9" t="s">
        <v>81</v>
      </c>
      <c r="AM26" s="9" t="s">
        <v>159</v>
      </c>
      <c r="AO26" s="9">
        <v>17</v>
      </c>
      <c r="AP26" s="10">
        <f t="shared" si="0"/>
        <v>18</v>
      </c>
      <c r="AQ26" s="10">
        <f t="shared" si="1"/>
        <v>33</v>
      </c>
      <c r="AR26" s="10">
        <f t="shared" si="2"/>
        <v>26.280000000005259</v>
      </c>
      <c r="AS26" s="10">
        <f t="shared" si="3"/>
        <v>96</v>
      </c>
      <c r="AT26" s="10">
        <f t="shared" si="4"/>
        <v>16</v>
      </c>
      <c r="AU26" s="10">
        <f t="shared" si="5"/>
        <v>27.659999999993943</v>
      </c>
      <c r="AV26" s="10">
        <v>18.557300000000001</v>
      </c>
      <c r="AW26" s="10">
        <v>95.725650000000002</v>
      </c>
      <c r="AX26" s="9" t="s">
        <v>72</v>
      </c>
      <c r="AY26" s="10">
        <v>2016</v>
      </c>
      <c r="BB26" s="9" t="s">
        <v>122</v>
      </c>
      <c r="BC26" s="9" t="s">
        <v>85</v>
      </c>
      <c r="BD26" s="15" t="s">
        <v>109</v>
      </c>
      <c r="BE26" s="16" t="s">
        <v>110</v>
      </c>
      <c r="BF26" s="18" t="s">
        <v>129</v>
      </c>
      <c r="BH26" s="9" t="s">
        <v>104</v>
      </c>
      <c r="BJ26" s="17" t="s">
        <v>129</v>
      </c>
    </row>
    <row r="27" spans="2:62" s="24" customFormat="1" x14ac:dyDescent="0.2">
      <c r="B27" s="25" t="s">
        <v>69</v>
      </c>
      <c r="E27" s="24" t="s">
        <v>136</v>
      </c>
      <c r="F27" s="24" t="s">
        <v>162</v>
      </c>
      <c r="G27" s="24" t="s">
        <v>72</v>
      </c>
      <c r="H27" s="24" t="s">
        <v>73</v>
      </c>
      <c r="I27" s="24" t="s">
        <v>72</v>
      </c>
      <c r="J27" s="24" t="s">
        <v>74</v>
      </c>
      <c r="K27" s="24" t="s">
        <v>75</v>
      </c>
      <c r="L27" s="25">
        <v>1</v>
      </c>
      <c r="M27" s="24" t="s">
        <v>76</v>
      </c>
      <c r="Q27" s="24" t="s">
        <v>124</v>
      </c>
      <c r="R27" s="24" t="s">
        <v>77</v>
      </c>
      <c r="S27" s="24" t="s">
        <v>78</v>
      </c>
      <c r="V27" s="25"/>
      <c r="Y27" s="25"/>
      <c r="Z27" s="24" t="s">
        <v>79</v>
      </c>
      <c r="AB27" s="26" t="s">
        <v>157</v>
      </c>
      <c r="AC27" s="25">
        <v>2016</v>
      </c>
      <c r="AD27" s="25">
        <v>6</v>
      </c>
      <c r="AE27" s="25">
        <v>25</v>
      </c>
      <c r="AF27" s="24" t="s">
        <v>158</v>
      </c>
      <c r="AG27" s="24" t="s">
        <v>97</v>
      </c>
      <c r="AI27" s="24" t="s">
        <v>80</v>
      </c>
      <c r="AK27" s="24" t="s">
        <v>81</v>
      </c>
      <c r="AM27" s="24" t="s">
        <v>159</v>
      </c>
      <c r="AO27" s="24">
        <v>17</v>
      </c>
      <c r="AP27" s="25">
        <f t="shared" si="0"/>
        <v>18</v>
      </c>
      <c r="AQ27" s="25">
        <f t="shared" si="1"/>
        <v>33</v>
      </c>
      <c r="AR27" s="25">
        <f t="shared" si="2"/>
        <v>26.280000000005259</v>
      </c>
      <c r="AS27" s="25">
        <f t="shared" si="3"/>
        <v>96</v>
      </c>
      <c r="AT27" s="25">
        <f t="shared" si="4"/>
        <v>16</v>
      </c>
      <c r="AU27" s="25">
        <f t="shared" si="5"/>
        <v>27.659999999993943</v>
      </c>
      <c r="AV27" s="25">
        <v>18.557300000000001</v>
      </c>
      <c r="AW27" s="25">
        <v>95.725650000000002</v>
      </c>
      <c r="AX27" s="24" t="s">
        <v>72</v>
      </c>
      <c r="AY27" s="25">
        <v>2016</v>
      </c>
      <c r="BB27" s="24" t="s">
        <v>136</v>
      </c>
      <c r="BC27" s="24" t="s">
        <v>85</v>
      </c>
      <c r="BD27" s="27" t="s">
        <v>109</v>
      </c>
      <c r="BE27" s="28" t="s">
        <v>110</v>
      </c>
      <c r="BF27" s="30" t="s">
        <v>139</v>
      </c>
      <c r="BH27" s="24" t="s">
        <v>104</v>
      </c>
      <c r="BJ27" s="30" t="s">
        <v>139</v>
      </c>
    </row>
    <row r="28" spans="2:62" s="9" customFormat="1" x14ac:dyDescent="0.2">
      <c r="B28" s="10" t="s">
        <v>69</v>
      </c>
      <c r="E28" s="9" t="s">
        <v>163</v>
      </c>
      <c r="F28" s="9" t="s">
        <v>164</v>
      </c>
      <c r="G28" s="9" t="s">
        <v>72</v>
      </c>
      <c r="H28" s="9" t="s">
        <v>73</v>
      </c>
      <c r="I28" s="9" t="s">
        <v>72</v>
      </c>
      <c r="J28" s="9" t="s">
        <v>74</v>
      </c>
      <c r="K28" s="9" t="s">
        <v>75</v>
      </c>
      <c r="L28" s="10">
        <v>1</v>
      </c>
      <c r="M28" s="9" t="s">
        <v>76</v>
      </c>
      <c r="R28" s="9" t="s">
        <v>77</v>
      </c>
      <c r="S28" s="9" t="s">
        <v>78</v>
      </c>
      <c r="V28" s="10"/>
      <c r="Y28" s="10"/>
      <c r="Z28" s="9" t="s">
        <v>79</v>
      </c>
      <c r="AB28" s="14" t="s">
        <v>157</v>
      </c>
      <c r="AC28" s="10">
        <v>2016</v>
      </c>
      <c r="AD28" s="10">
        <v>6</v>
      </c>
      <c r="AE28" s="10">
        <v>25</v>
      </c>
      <c r="AF28" s="9" t="s">
        <v>158</v>
      </c>
      <c r="AG28" s="9" t="s">
        <v>97</v>
      </c>
      <c r="AI28" s="9" t="s">
        <v>80</v>
      </c>
      <c r="AK28" s="9" t="s">
        <v>81</v>
      </c>
      <c r="AM28" s="9" t="s">
        <v>159</v>
      </c>
      <c r="AO28" s="9">
        <v>17</v>
      </c>
      <c r="AP28" s="10">
        <f t="shared" si="0"/>
        <v>18</v>
      </c>
      <c r="AQ28" s="10">
        <f t="shared" si="1"/>
        <v>33</v>
      </c>
      <c r="AR28" s="10">
        <f t="shared" si="2"/>
        <v>26.280000000005259</v>
      </c>
      <c r="AS28" s="10">
        <f t="shared" si="3"/>
        <v>96</v>
      </c>
      <c r="AT28" s="10">
        <f t="shared" si="4"/>
        <v>16</v>
      </c>
      <c r="AU28" s="10">
        <f t="shared" si="5"/>
        <v>27.659999999993943</v>
      </c>
      <c r="AV28" s="10">
        <v>18.557300000000001</v>
      </c>
      <c r="AW28" s="10">
        <v>95.725650000000002</v>
      </c>
      <c r="AX28" s="9" t="s">
        <v>72</v>
      </c>
      <c r="AY28" s="10">
        <v>2016</v>
      </c>
      <c r="BB28" s="9" t="s">
        <v>163</v>
      </c>
      <c r="BC28" s="9" t="s">
        <v>85</v>
      </c>
      <c r="BD28" s="9" t="s">
        <v>165</v>
      </c>
      <c r="BE28" s="12" t="s">
        <v>166</v>
      </c>
      <c r="BF28" s="12" t="s">
        <v>167</v>
      </c>
      <c r="BH28" s="9" t="s">
        <v>104</v>
      </c>
      <c r="BJ28" s="12"/>
    </row>
    <row r="29" spans="2:62" s="24" customFormat="1" x14ac:dyDescent="0.2">
      <c r="B29" s="25" t="s">
        <v>69</v>
      </c>
      <c r="E29" s="24" t="s">
        <v>136</v>
      </c>
      <c r="F29" s="24" t="s">
        <v>168</v>
      </c>
      <c r="G29" s="24" t="s">
        <v>72</v>
      </c>
      <c r="H29" s="24" t="s">
        <v>73</v>
      </c>
      <c r="I29" s="24" t="s">
        <v>72</v>
      </c>
      <c r="J29" s="24" t="s">
        <v>74</v>
      </c>
      <c r="K29" s="24" t="s">
        <v>75</v>
      </c>
      <c r="L29" s="25">
        <v>1</v>
      </c>
      <c r="M29" s="24" t="s">
        <v>76</v>
      </c>
      <c r="Q29" s="24" t="s">
        <v>124</v>
      </c>
      <c r="R29" s="24" t="s">
        <v>77</v>
      </c>
      <c r="S29" s="24" t="s">
        <v>78</v>
      </c>
      <c r="V29" s="25"/>
      <c r="Y29" s="25"/>
      <c r="Z29" s="24" t="s">
        <v>79</v>
      </c>
      <c r="AB29" s="26" t="s">
        <v>157</v>
      </c>
      <c r="AC29" s="25">
        <v>2016</v>
      </c>
      <c r="AD29" s="25">
        <v>6</v>
      </c>
      <c r="AE29" s="25">
        <v>25</v>
      </c>
      <c r="AF29" s="24" t="s">
        <v>158</v>
      </c>
      <c r="AG29" s="24" t="s">
        <v>97</v>
      </c>
      <c r="AI29" s="24" t="s">
        <v>80</v>
      </c>
      <c r="AK29" s="24" t="s">
        <v>81</v>
      </c>
      <c r="AM29" s="24" t="s">
        <v>159</v>
      </c>
      <c r="AO29" s="24">
        <v>17</v>
      </c>
      <c r="AP29" s="25">
        <f t="shared" si="0"/>
        <v>18</v>
      </c>
      <c r="AQ29" s="25">
        <f t="shared" si="1"/>
        <v>33</v>
      </c>
      <c r="AR29" s="25">
        <f t="shared" si="2"/>
        <v>26.280000000005259</v>
      </c>
      <c r="AS29" s="25">
        <f t="shared" si="3"/>
        <v>96</v>
      </c>
      <c r="AT29" s="25">
        <f t="shared" si="4"/>
        <v>16</v>
      </c>
      <c r="AU29" s="25">
        <f t="shared" si="5"/>
        <v>27.659999999993943</v>
      </c>
      <c r="AV29" s="25">
        <v>18.557300000000001</v>
      </c>
      <c r="AW29" s="25">
        <v>95.725650000000002</v>
      </c>
      <c r="AX29" s="24" t="s">
        <v>72</v>
      </c>
      <c r="AY29" s="25">
        <v>2016</v>
      </c>
      <c r="BB29" s="24" t="s">
        <v>136</v>
      </c>
      <c r="BC29" s="24" t="s">
        <v>85</v>
      </c>
      <c r="BD29" s="27" t="s">
        <v>109</v>
      </c>
      <c r="BE29" s="28" t="s">
        <v>110</v>
      </c>
      <c r="BF29" s="30" t="s">
        <v>139</v>
      </c>
      <c r="BH29" s="24" t="s">
        <v>104</v>
      </c>
      <c r="BJ29" s="30" t="s">
        <v>139</v>
      </c>
    </row>
    <row r="30" spans="2:62" s="34" customFormat="1" x14ac:dyDescent="0.2">
      <c r="B30" s="35" t="s">
        <v>69</v>
      </c>
      <c r="E30" s="34" t="s">
        <v>122</v>
      </c>
      <c r="F30" s="34" t="s">
        <v>169</v>
      </c>
      <c r="G30" s="34" t="s">
        <v>72</v>
      </c>
      <c r="H30" s="34" t="s">
        <v>73</v>
      </c>
      <c r="I30" s="34" t="s">
        <v>72</v>
      </c>
      <c r="J30" s="34" t="s">
        <v>74</v>
      </c>
      <c r="K30" s="34" t="s">
        <v>75</v>
      </c>
      <c r="L30" s="35">
        <v>1</v>
      </c>
      <c r="M30" s="34" t="s">
        <v>76</v>
      </c>
      <c r="Q30" s="34" t="s">
        <v>124</v>
      </c>
      <c r="R30" s="34" t="s">
        <v>77</v>
      </c>
      <c r="S30" s="34" t="s">
        <v>78</v>
      </c>
      <c r="V30" s="35"/>
      <c r="Y30" s="35"/>
      <c r="Z30" s="34" t="s">
        <v>79</v>
      </c>
      <c r="AB30" s="36" t="s">
        <v>170</v>
      </c>
      <c r="AC30" s="35">
        <v>2016</v>
      </c>
      <c r="AD30" s="35">
        <v>6</v>
      </c>
      <c r="AE30" s="35">
        <v>26</v>
      </c>
      <c r="AF30" s="34" t="s">
        <v>126</v>
      </c>
      <c r="AG30" s="34" t="s">
        <v>97</v>
      </c>
      <c r="AI30" s="34" t="s">
        <v>80</v>
      </c>
      <c r="AK30" s="34" t="s">
        <v>81</v>
      </c>
      <c r="AM30" s="34" t="s">
        <v>171</v>
      </c>
      <c r="AO30" s="34">
        <v>0</v>
      </c>
      <c r="AP30" s="35">
        <f t="shared" si="0"/>
        <v>18</v>
      </c>
      <c r="AQ30" s="35">
        <f t="shared" si="1"/>
        <v>12</v>
      </c>
      <c r="AR30" s="35">
        <f t="shared" si="2"/>
        <v>30.636000000001502</v>
      </c>
      <c r="AS30" s="35">
        <f t="shared" si="3"/>
        <v>95</v>
      </c>
      <c r="AT30" s="35">
        <f t="shared" si="4"/>
        <v>51</v>
      </c>
      <c r="AU30" s="35">
        <f t="shared" si="5"/>
        <v>5.1479999999764914</v>
      </c>
      <c r="AV30" s="35">
        <v>18.20851</v>
      </c>
      <c r="AW30" s="35">
        <v>94.148570000000007</v>
      </c>
      <c r="AX30" s="34" t="s">
        <v>72</v>
      </c>
      <c r="AY30" s="35">
        <v>2016</v>
      </c>
      <c r="BB30" s="34" t="s">
        <v>122</v>
      </c>
      <c r="BC30" s="34" t="s">
        <v>85</v>
      </c>
      <c r="BD30" s="37" t="s">
        <v>109</v>
      </c>
      <c r="BE30" s="38" t="s">
        <v>110</v>
      </c>
      <c r="BF30" s="40" t="s">
        <v>129</v>
      </c>
      <c r="BH30" s="34" t="s">
        <v>104</v>
      </c>
      <c r="BJ30" s="39" t="s">
        <v>129</v>
      </c>
    </row>
    <row r="31" spans="2:62" s="9" customFormat="1" x14ac:dyDescent="0.2">
      <c r="B31" s="10" t="s">
        <v>69</v>
      </c>
      <c r="E31" s="9" t="s">
        <v>122</v>
      </c>
      <c r="F31" s="9" t="s">
        <v>172</v>
      </c>
      <c r="G31" s="9" t="s">
        <v>72</v>
      </c>
      <c r="H31" s="9" t="s">
        <v>73</v>
      </c>
      <c r="I31" s="9" t="s">
        <v>72</v>
      </c>
      <c r="J31" s="9" t="s">
        <v>74</v>
      </c>
      <c r="K31" s="9" t="s">
        <v>75</v>
      </c>
      <c r="L31" s="10">
        <v>1</v>
      </c>
      <c r="M31" s="9" t="s">
        <v>76</v>
      </c>
      <c r="Q31" s="9" t="s">
        <v>124</v>
      </c>
      <c r="R31" s="9" t="s">
        <v>77</v>
      </c>
      <c r="S31" s="9" t="s">
        <v>78</v>
      </c>
      <c r="V31" s="10"/>
      <c r="Y31" s="10"/>
      <c r="Z31" s="9" t="s">
        <v>79</v>
      </c>
      <c r="AB31" s="14" t="s">
        <v>170</v>
      </c>
      <c r="AC31" s="10">
        <v>2016</v>
      </c>
      <c r="AD31" s="10">
        <v>6</v>
      </c>
      <c r="AE31" s="10">
        <v>26</v>
      </c>
      <c r="AF31" s="9" t="s">
        <v>126</v>
      </c>
      <c r="AG31" s="9" t="s">
        <v>97</v>
      </c>
      <c r="AI31" s="9" t="s">
        <v>80</v>
      </c>
      <c r="AK31" s="9" t="s">
        <v>81</v>
      </c>
      <c r="AM31" s="9" t="s">
        <v>171</v>
      </c>
      <c r="AO31" s="9">
        <v>0</v>
      </c>
      <c r="AP31" s="10">
        <f t="shared" si="0"/>
        <v>18</v>
      </c>
      <c r="AQ31" s="10">
        <f t="shared" si="1"/>
        <v>12</v>
      </c>
      <c r="AR31" s="10">
        <f t="shared" si="2"/>
        <v>30.636000000001502</v>
      </c>
      <c r="AS31" s="10">
        <f t="shared" si="3"/>
        <v>95</v>
      </c>
      <c r="AT31" s="10">
        <f t="shared" si="4"/>
        <v>51</v>
      </c>
      <c r="AU31" s="10">
        <f t="shared" si="5"/>
        <v>5.1479999999764914</v>
      </c>
      <c r="AV31" s="10">
        <v>18.20851</v>
      </c>
      <c r="AW31" s="10">
        <v>94.148570000000007</v>
      </c>
      <c r="AX31" s="9" t="s">
        <v>72</v>
      </c>
      <c r="AY31" s="10">
        <v>2016</v>
      </c>
      <c r="BB31" s="9" t="s">
        <v>122</v>
      </c>
      <c r="BC31" s="9" t="s">
        <v>85</v>
      </c>
      <c r="BD31" s="15" t="s">
        <v>109</v>
      </c>
      <c r="BE31" s="16" t="s">
        <v>110</v>
      </c>
      <c r="BF31" s="18" t="s">
        <v>129</v>
      </c>
      <c r="BH31" s="9" t="s">
        <v>104</v>
      </c>
      <c r="BJ31" s="17" t="s">
        <v>129</v>
      </c>
    </row>
    <row r="32" spans="2:62" s="9" customFormat="1" x14ac:dyDescent="0.2">
      <c r="B32" s="10" t="s">
        <v>69</v>
      </c>
      <c r="E32" s="9" t="s">
        <v>122</v>
      </c>
      <c r="F32" s="9" t="s">
        <v>173</v>
      </c>
      <c r="G32" s="9" t="s">
        <v>72</v>
      </c>
      <c r="H32" s="9" t="s">
        <v>73</v>
      </c>
      <c r="I32" s="9" t="s">
        <v>72</v>
      </c>
      <c r="J32" s="9" t="s">
        <v>74</v>
      </c>
      <c r="K32" s="9" t="s">
        <v>75</v>
      </c>
      <c r="L32" s="10">
        <v>1</v>
      </c>
      <c r="M32" s="9" t="s">
        <v>76</v>
      </c>
      <c r="Q32" s="9" t="s">
        <v>124</v>
      </c>
      <c r="R32" s="9" t="s">
        <v>77</v>
      </c>
      <c r="S32" s="9" t="s">
        <v>78</v>
      </c>
      <c r="V32" s="10"/>
      <c r="Y32" s="10"/>
      <c r="Z32" s="9" t="s">
        <v>79</v>
      </c>
      <c r="AB32" s="14" t="s">
        <v>170</v>
      </c>
      <c r="AC32" s="10">
        <v>2016</v>
      </c>
      <c r="AD32" s="10">
        <v>6</v>
      </c>
      <c r="AE32" s="10">
        <v>26</v>
      </c>
      <c r="AF32" s="9" t="s">
        <v>126</v>
      </c>
      <c r="AG32" s="9" t="s">
        <v>97</v>
      </c>
      <c r="AI32" s="9" t="s">
        <v>80</v>
      </c>
      <c r="AK32" s="9" t="s">
        <v>81</v>
      </c>
      <c r="AM32" s="9" t="s">
        <v>171</v>
      </c>
      <c r="AO32" s="9">
        <v>0</v>
      </c>
      <c r="AP32" s="10">
        <f t="shared" si="0"/>
        <v>18</v>
      </c>
      <c r="AQ32" s="10">
        <f t="shared" si="1"/>
        <v>12</v>
      </c>
      <c r="AR32" s="10">
        <f t="shared" si="2"/>
        <v>30.636000000001502</v>
      </c>
      <c r="AS32" s="10">
        <f t="shared" si="3"/>
        <v>95</v>
      </c>
      <c r="AT32" s="10">
        <f t="shared" si="4"/>
        <v>51</v>
      </c>
      <c r="AU32" s="10">
        <f t="shared" si="5"/>
        <v>5.1479999999764914</v>
      </c>
      <c r="AV32" s="10">
        <v>18.20851</v>
      </c>
      <c r="AW32" s="10">
        <v>94.148570000000007</v>
      </c>
      <c r="AX32" s="9" t="s">
        <v>72</v>
      </c>
      <c r="AY32" s="10">
        <v>2016</v>
      </c>
      <c r="BB32" s="9" t="s">
        <v>122</v>
      </c>
      <c r="BC32" s="9" t="s">
        <v>85</v>
      </c>
      <c r="BD32" s="15" t="s">
        <v>109</v>
      </c>
      <c r="BE32" s="16" t="s">
        <v>110</v>
      </c>
      <c r="BF32" s="18" t="s">
        <v>129</v>
      </c>
      <c r="BH32" s="9" t="s">
        <v>104</v>
      </c>
      <c r="BJ32" s="17" t="s">
        <v>129</v>
      </c>
    </row>
    <row r="33" spans="2:62" s="9" customFormat="1" x14ac:dyDescent="0.2">
      <c r="B33" s="10" t="s">
        <v>69</v>
      </c>
      <c r="E33" s="9" t="s">
        <v>122</v>
      </c>
      <c r="F33" s="9" t="s">
        <v>174</v>
      </c>
      <c r="G33" s="9" t="s">
        <v>72</v>
      </c>
      <c r="H33" s="9" t="s">
        <v>73</v>
      </c>
      <c r="I33" s="9" t="s">
        <v>72</v>
      </c>
      <c r="J33" s="9" t="s">
        <v>74</v>
      </c>
      <c r="K33" s="9" t="s">
        <v>75</v>
      </c>
      <c r="L33" s="10">
        <v>1</v>
      </c>
      <c r="M33" s="9" t="s">
        <v>76</v>
      </c>
      <c r="Q33" s="9" t="s">
        <v>124</v>
      </c>
      <c r="R33" s="9" t="s">
        <v>77</v>
      </c>
      <c r="S33" s="9" t="s">
        <v>78</v>
      </c>
      <c r="V33" s="10"/>
      <c r="Y33" s="10"/>
      <c r="Z33" s="9" t="s">
        <v>79</v>
      </c>
      <c r="AB33" s="14" t="s">
        <v>170</v>
      </c>
      <c r="AC33" s="10">
        <v>2016</v>
      </c>
      <c r="AD33" s="10">
        <v>6</v>
      </c>
      <c r="AE33" s="10">
        <v>26</v>
      </c>
      <c r="AF33" s="9" t="s">
        <v>126</v>
      </c>
      <c r="AG33" s="9" t="s">
        <v>97</v>
      </c>
      <c r="AI33" s="9" t="s">
        <v>80</v>
      </c>
      <c r="AK33" s="9" t="s">
        <v>81</v>
      </c>
      <c r="AM33" s="9" t="s">
        <v>171</v>
      </c>
      <c r="AO33" s="9">
        <v>0</v>
      </c>
      <c r="AP33" s="10">
        <f t="shared" si="0"/>
        <v>18</v>
      </c>
      <c r="AQ33" s="10">
        <f t="shared" si="1"/>
        <v>12</v>
      </c>
      <c r="AR33" s="10">
        <f t="shared" si="2"/>
        <v>30.636000000001502</v>
      </c>
      <c r="AS33" s="10">
        <f t="shared" si="3"/>
        <v>95</v>
      </c>
      <c r="AT33" s="10">
        <f t="shared" si="4"/>
        <v>51</v>
      </c>
      <c r="AU33" s="10">
        <f t="shared" si="5"/>
        <v>5.1479999999764914</v>
      </c>
      <c r="AV33" s="10">
        <v>18.20851</v>
      </c>
      <c r="AW33" s="10">
        <v>94.148570000000007</v>
      </c>
      <c r="AX33" s="9" t="s">
        <v>72</v>
      </c>
      <c r="AY33" s="10">
        <v>2016</v>
      </c>
      <c r="BB33" s="9" t="s">
        <v>122</v>
      </c>
      <c r="BC33" s="9" t="s">
        <v>85</v>
      </c>
      <c r="BD33" s="15" t="s">
        <v>109</v>
      </c>
      <c r="BE33" s="16" t="s">
        <v>110</v>
      </c>
      <c r="BF33" s="18" t="s">
        <v>129</v>
      </c>
      <c r="BH33" s="9" t="s">
        <v>104</v>
      </c>
      <c r="BJ33" s="17" t="s">
        <v>129</v>
      </c>
    </row>
    <row r="34" spans="2:62" s="9" customFormat="1" x14ac:dyDescent="0.2">
      <c r="B34" s="10" t="s">
        <v>69</v>
      </c>
      <c r="E34" s="9" t="s">
        <v>122</v>
      </c>
      <c r="F34" s="9" t="s">
        <v>175</v>
      </c>
      <c r="G34" s="9" t="s">
        <v>72</v>
      </c>
      <c r="H34" s="9" t="s">
        <v>73</v>
      </c>
      <c r="I34" s="9" t="s">
        <v>72</v>
      </c>
      <c r="J34" s="9" t="s">
        <v>74</v>
      </c>
      <c r="K34" s="9" t="s">
        <v>75</v>
      </c>
      <c r="L34" s="10">
        <v>1</v>
      </c>
      <c r="M34" s="9" t="s">
        <v>76</v>
      </c>
      <c r="Q34" s="9" t="s">
        <v>124</v>
      </c>
      <c r="R34" s="9" t="s">
        <v>77</v>
      </c>
      <c r="S34" s="9" t="s">
        <v>78</v>
      </c>
      <c r="V34" s="10"/>
      <c r="Y34" s="10"/>
      <c r="Z34" s="9" t="s">
        <v>79</v>
      </c>
      <c r="AB34" s="14" t="s">
        <v>170</v>
      </c>
      <c r="AC34" s="10">
        <v>2016</v>
      </c>
      <c r="AD34" s="10">
        <v>6</v>
      </c>
      <c r="AE34" s="10">
        <v>26</v>
      </c>
      <c r="AF34" s="9" t="s">
        <v>126</v>
      </c>
      <c r="AG34" s="9" t="s">
        <v>97</v>
      </c>
      <c r="AI34" s="9" t="s">
        <v>80</v>
      </c>
      <c r="AK34" s="9" t="s">
        <v>81</v>
      </c>
      <c r="AM34" s="9" t="s">
        <v>171</v>
      </c>
      <c r="AO34" s="9">
        <v>0</v>
      </c>
      <c r="AP34" s="10">
        <f t="shared" si="0"/>
        <v>18</v>
      </c>
      <c r="AQ34" s="10">
        <f t="shared" si="1"/>
        <v>12</v>
      </c>
      <c r="AR34" s="10">
        <f t="shared" si="2"/>
        <v>30.636000000001502</v>
      </c>
      <c r="AS34" s="10">
        <f t="shared" si="3"/>
        <v>95</v>
      </c>
      <c r="AT34" s="10">
        <f t="shared" si="4"/>
        <v>51</v>
      </c>
      <c r="AU34" s="10">
        <f t="shared" si="5"/>
        <v>5.1479999999764914</v>
      </c>
      <c r="AV34" s="10">
        <v>18.20851</v>
      </c>
      <c r="AW34" s="10">
        <v>94.148570000000007</v>
      </c>
      <c r="AX34" s="9" t="s">
        <v>72</v>
      </c>
      <c r="AY34" s="10">
        <v>2016</v>
      </c>
      <c r="BB34" s="9" t="s">
        <v>122</v>
      </c>
      <c r="BC34" s="9" t="s">
        <v>85</v>
      </c>
      <c r="BD34" s="15" t="s">
        <v>109</v>
      </c>
      <c r="BE34" s="16" t="s">
        <v>110</v>
      </c>
      <c r="BF34" s="18" t="s">
        <v>129</v>
      </c>
      <c r="BH34" s="9" t="s">
        <v>104</v>
      </c>
      <c r="BJ34" s="17" t="s">
        <v>129</v>
      </c>
    </row>
    <row r="35" spans="2:62" s="9" customFormat="1" x14ac:dyDescent="0.2">
      <c r="B35" s="10" t="s">
        <v>69</v>
      </c>
      <c r="E35" s="9" t="s">
        <v>122</v>
      </c>
      <c r="F35" s="9" t="s">
        <v>176</v>
      </c>
      <c r="G35" s="9" t="s">
        <v>72</v>
      </c>
      <c r="H35" s="9" t="s">
        <v>73</v>
      </c>
      <c r="I35" s="9" t="s">
        <v>72</v>
      </c>
      <c r="J35" s="9" t="s">
        <v>74</v>
      </c>
      <c r="K35" s="9" t="s">
        <v>75</v>
      </c>
      <c r="L35" s="10">
        <v>1</v>
      </c>
      <c r="M35" s="9" t="s">
        <v>76</v>
      </c>
      <c r="Q35" s="9" t="s">
        <v>124</v>
      </c>
      <c r="R35" s="9" t="s">
        <v>77</v>
      </c>
      <c r="S35" s="9" t="s">
        <v>78</v>
      </c>
      <c r="V35" s="10"/>
      <c r="Y35" s="10"/>
      <c r="Z35" s="9" t="s">
        <v>79</v>
      </c>
      <c r="AB35" s="14" t="s">
        <v>170</v>
      </c>
      <c r="AC35" s="10">
        <v>2016</v>
      </c>
      <c r="AD35" s="10">
        <v>6</v>
      </c>
      <c r="AE35" s="10">
        <v>26</v>
      </c>
      <c r="AF35" s="9" t="s">
        <v>126</v>
      </c>
      <c r="AG35" s="9" t="s">
        <v>97</v>
      </c>
      <c r="AI35" s="9" t="s">
        <v>80</v>
      </c>
      <c r="AK35" s="9" t="s">
        <v>81</v>
      </c>
      <c r="AM35" s="9" t="s">
        <v>171</v>
      </c>
      <c r="AO35" s="9">
        <v>0</v>
      </c>
      <c r="AP35" s="10">
        <f t="shared" si="0"/>
        <v>18</v>
      </c>
      <c r="AQ35" s="10">
        <f t="shared" si="1"/>
        <v>12</v>
      </c>
      <c r="AR35" s="10">
        <f t="shared" si="2"/>
        <v>30.636000000001502</v>
      </c>
      <c r="AS35" s="10">
        <f t="shared" si="3"/>
        <v>95</v>
      </c>
      <c r="AT35" s="10">
        <f t="shared" si="4"/>
        <v>51</v>
      </c>
      <c r="AU35" s="10">
        <f t="shared" si="5"/>
        <v>5.1479999999764914</v>
      </c>
      <c r="AV35" s="10">
        <v>18.20851</v>
      </c>
      <c r="AW35" s="10">
        <v>94.148570000000007</v>
      </c>
      <c r="AX35" s="9" t="s">
        <v>72</v>
      </c>
      <c r="AY35" s="10">
        <v>2016</v>
      </c>
      <c r="BB35" s="9" t="s">
        <v>122</v>
      </c>
      <c r="BC35" s="9" t="s">
        <v>85</v>
      </c>
      <c r="BD35" s="15" t="s">
        <v>109</v>
      </c>
      <c r="BE35" s="16" t="s">
        <v>110</v>
      </c>
      <c r="BF35" s="18" t="s">
        <v>129</v>
      </c>
      <c r="BH35" s="9" t="s">
        <v>104</v>
      </c>
      <c r="BJ35" s="17" t="s">
        <v>129</v>
      </c>
    </row>
    <row r="36" spans="2:62" s="24" customFormat="1" x14ac:dyDescent="0.2">
      <c r="B36" s="25" t="s">
        <v>69</v>
      </c>
      <c r="E36" s="24" t="s">
        <v>122</v>
      </c>
      <c r="F36" s="24" t="s">
        <v>177</v>
      </c>
      <c r="G36" s="24" t="s">
        <v>72</v>
      </c>
      <c r="H36" s="24" t="s">
        <v>73</v>
      </c>
      <c r="I36" s="24" t="s">
        <v>72</v>
      </c>
      <c r="J36" s="24" t="s">
        <v>74</v>
      </c>
      <c r="K36" s="24" t="s">
        <v>75</v>
      </c>
      <c r="L36" s="25">
        <v>1</v>
      </c>
      <c r="M36" s="24" t="s">
        <v>76</v>
      </c>
      <c r="Q36" s="24" t="s">
        <v>124</v>
      </c>
      <c r="R36" s="24" t="s">
        <v>77</v>
      </c>
      <c r="S36" s="24" t="s">
        <v>78</v>
      </c>
      <c r="V36" s="25"/>
      <c r="Y36" s="25"/>
      <c r="Z36" s="24" t="s">
        <v>79</v>
      </c>
      <c r="AB36" s="26" t="s">
        <v>178</v>
      </c>
      <c r="AC36" s="25">
        <v>2016</v>
      </c>
      <c r="AD36" s="25">
        <v>6</v>
      </c>
      <c r="AE36" s="25">
        <v>26</v>
      </c>
      <c r="AF36" s="24" t="s">
        <v>126</v>
      </c>
      <c r="AG36" s="24" t="s">
        <v>97</v>
      </c>
      <c r="AI36" s="24" t="s">
        <v>80</v>
      </c>
      <c r="AK36" s="24" t="s">
        <v>81</v>
      </c>
      <c r="AM36" s="24" t="s">
        <v>179</v>
      </c>
      <c r="AO36" s="24">
        <v>0</v>
      </c>
      <c r="AP36" s="25">
        <f t="shared" si="0"/>
        <v>18</v>
      </c>
      <c r="AQ36" s="25">
        <f t="shared" si="1"/>
        <v>11</v>
      </c>
      <c r="AR36" s="25">
        <f t="shared" si="2"/>
        <v>14.496000000006291</v>
      </c>
      <c r="AS36" s="25">
        <f t="shared" si="3"/>
        <v>95</v>
      </c>
      <c r="AT36" s="25">
        <f t="shared" si="4"/>
        <v>45</v>
      </c>
      <c r="AU36" s="25">
        <f t="shared" si="5"/>
        <v>31.788000000011607</v>
      </c>
      <c r="AV36" s="25">
        <v>18.187360000000002</v>
      </c>
      <c r="AW36" s="25">
        <v>94.241169999999997</v>
      </c>
      <c r="AX36" s="24" t="s">
        <v>72</v>
      </c>
      <c r="AY36" s="25">
        <v>2016</v>
      </c>
      <c r="BB36" s="24" t="s">
        <v>122</v>
      </c>
      <c r="BC36" s="24" t="s">
        <v>85</v>
      </c>
      <c r="BD36" s="27" t="s">
        <v>109</v>
      </c>
      <c r="BE36" s="28" t="s">
        <v>110</v>
      </c>
      <c r="BF36" s="31" t="s">
        <v>129</v>
      </c>
      <c r="BH36" s="24" t="s">
        <v>104</v>
      </c>
      <c r="BJ36" s="29" t="s">
        <v>129</v>
      </c>
    </row>
    <row r="37" spans="2:62" s="34" customFormat="1" x14ac:dyDescent="0.2">
      <c r="B37" s="35" t="s">
        <v>69</v>
      </c>
      <c r="E37" s="34" t="s">
        <v>122</v>
      </c>
      <c r="F37" s="34" t="s">
        <v>180</v>
      </c>
      <c r="G37" s="34" t="s">
        <v>72</v>
      </c>
      <c r="H37" s="34" t="s">
        <v>73</v>
      </c>
      <c r="I37" s="34" t="s">
        <v>72</v>
      </c>
      <c r="J37" s="34" t="s">
        <v>74</v>
      </c>
      <c r="K37" s="34" t="s">
        <v>75</v>
      </c>
      <c r="L37" s="35">
        <v>1</v>
      </c>
      <c r="M37" s="34" t="s">
        <v>76</v>
      </c>
      <c r="Q37" s="34" t="s">
        <v>124</v>
      </c>
      <c r="R37" s="34" t="s">
        <v>77</v>
      </c>
      <c r="S37" s="34" t="s">
        <v>78</v>
      </c>
      <c r="V37" s="35"/>
      <c r="Y37" s="35"/>
      <c r="Z37" s="34" t="s">
        <v>79</v>
      </c>
      <c r="AB37" s="36" t="s">
        <v>178</v>
      </c>
      <c r="AC37" s="35">
        <v>2016</v>
      </c>
      <c r="AD37" s="35">
        <v>6</v>
      </c>
      <c r="AE37" s="35">
        <v>26</v>
      </c>
      <c r="AF37" s="34" t="s">
        <v>126</v>
      </c>
      <c r="AG37" s="34" t="s">
        <v>97</v>
      </c>
      <c r="AI37" s="34" t="s">
        <v>80</v>
      </c>
      <c r="AK37" s="34" t="s">
        <v>81</v>
      </c>
      <c r="AM37" s="34" t="s">
        <v>179</v>
      </c>
      <c r="AO37" s="34">
        <v>0</v>
      </c>
      <c r="AP37" s="35">
        <f t="shared" si="0"/>
        <v>18</v>
      </c>
      <c r="AQ37" s="35">
        <f t="shared" si="1"/>
        <v>11</v>
      </c>
      <c r="AR37" s="35">
        <f t="shared" si="2"/>
        <v>14.496000000006291</v>
      </c>
      <c r="AS37" s="35">
        <f t="shared" si="3"/>
        <v>95</v>
      </c>
      <c r="AT37" s="35">
        <f t="shared" si="4"/>
        <v>45</v>
      </c>
      <c r="AU37" s="35">
        <f t="shared" si="5"/>
        <v>31.788000000011607</v>
      </c>
      <c r="AV37" s="35">
        <v>18.187360000000002</v>
      </c>
      <c r="AW37" s="35">
        <v>94.241169999999997</v>
      </c>
      <c r="AX37" s="34" t="s">
        <v>72</v>
      </c>
      <c r="AY37" s="35">
        <v>2016</v>
      </c>
      <c r="BB37" s="34" t="s">
        <v>122</v>
      </c>
      <c r="BC37" s="34" t="s">
        <v>85</v>
      </c>
      <c r="BD37" s="37" t="s">
        <v>109</v>
      </c>
      <c r="BE37" s="38" t="s">
        <v>110</v>
      </c>
      <c r="BF37" s="40" t="s">
        <v>129</v>
      </c>
      <c r="BH37" s="34" t="s">
        <v>104</v>
      </c>
      <c r="BJ37" s="39" t="s">
        <v>129</v>
      </c>
    </row>
    <row r="38" spans="2:62" s="9" customFormat="1" x14ac:dyDescent="0.2">
      <c r="B38" s="10" t="s">
        <v>69</v>
      </c>
      <c r="E38" s="9" t="s">
        <v>122</v>
      </c>
      <c r="F38" s="9" t="s">
        <v>181</v>
      </c>
      <c r="G38" s="9" t="s">
        <v>72</v>
      </c>
      <c r="H38" s="9" t="s">
        <v>73</v>
      </c>
      <c r="I38" s="9" t="s">
        <v>72</v>
      </c>
      <c r="J38" s="9" t="s">
        <v>74</v>
      </c>
      <c r="K38" s="9" t="s">
        <v>75</v>
      </c>
      <c r="L38" s="10">
        <v>1</v>
      </c>
      <c r="M38" s="9" t="s">
        <v>76</v>
      </c>
      <c r="Q38" s="9" t="s">
        <v>124</v>
      </c>
      <c r="R38" s="9" t="s">
        <v>77</v>
      </c>
      <c r="S38" s="9" t="s">
        <v>78</v>
      </c>
      <c r="V38" s="10"/>
      <c r="Y38" s="10"/>
      <c r="Z38" s="9" t="s">
        <v>79</v>
      </c>
      <c r="AB38" s="14" t="s">
        <v>178</v>
      </c>
      <c r="AC38" s="10">
        <v>2016</v>
      </c>
      <c r="AD38" s="10">
        <v>6</v>
      </c>
      <c r="AE38" s="10">
        <v>26</v>
      </c>
      <c r="AF38" s="9" t="s">
        <v>126</v>
      </c>
      <c r="AG38" s="9" t="s">
        <v>97</v>
      </c>
      <c r="AI38" s="9" t="s">
        <v>80</v>
      </c>
      <c r="AK38" s="9" t="s">
        <v>81</v>
      </c>
      <c r="AM38" s="9" t="s">
        <v>179</v>
      </c>
      <c r="AO38" s="9">
        <v>0</v>
      </c>
      <c r="AP38" s="10">
        <f t="shared" si="0"/>
        <v>18</v>
      </c>
      <c r="AQ38" s="10">
        <f t="shared" si="1"/>
        <v>11</v>
      </c>
      <c r="AR38" s="10">
        <f t="shared" si="2"/>
        <v>14.496000000006291</v>
      </c>
      <c r="AS38" s="10">
        <f t="shared" si="3"/>
        <v>95</v>
      </c>
      <c r="AT38" s="10">
        <f t="shared" si="4"/>
        <v>45</v>
      </c>
      <c r="AU38" s="10">
        <f t="shared" si="5"/>
        <v>31.788000000011607</v>
      </c>
      <c r="AV38" s="10">
        <v>18.187360000000002</v>
      </c>
      <c r="AW38" s="10">
        <v>94.241169999999997</v>
      </c>
      <c r="AX38" s="9" t="s">
        <v>72</v>
      </c>
      <c r="AY38" s="10">
        <v>2016</v>
      </c>
      <c r="BB38" s="9" t="s">
        <v>122</v>
      </c>
      <c r="BC38" s="9" t="s">
        <v>85</v>
      </c>
      <c r="BD38" s="15" t="s">
        <v>109</v>
      </c>
      <c r="BE38" s="16" t="s">
        <v>110</v>
      </c>
      <c r="BF38" s="18" t="s">
        <v>129</v>
      </c>
      <c r="BH38" s="9" t="s">
        <v>104</v>
      </c>
      <c r="BJ38" s="17" t="s">
        <v>129</v>
      </c>
    </row>
    <row r="39" spans="2:62" s="34" customFormat="1" x14ac:dyDescent="0.2">
      <c r="B39" s="35" t="s">
        <v>69</v>
      </c>
      <c r="E39" s="34" t="s">
        <v>122</v>
      </c>
      <c r="F39" s="34" t="s">
        <v>182</v>
      </c>
      <c r="G39" s="34" t="s">
        <v>72</v>
      </c>
      <c r="H39" s="34" t="s">
        <v>73</v>
      </c>
      <c r="I39" s="34" t="s">
        <v>72</v>
      </c>
      <c r="J39" s="34" t="s">
        <v>74</v>
      </c>
      <c r="K39" s="34" t="s">
        <v>75</v>
      </c>
      <c r="L39" s="35">
        <v>1</v>
      </c>
      <c r="M39" s="34" t="s">
        <v>76</v>
      </c>
      <c r="Q39" s="34" t="s">
        <v>124</v>
      </c>
      <c r="R39" s="34" t="s">
        <v>77</v>
      </c>
      <c r="S39" s="34" t="s">
        <v>78</v>
      </c>
      <c r="V39" s="35"/>
      <c r="Y39" s="35"/>
      <c r="Z39" s="34" t="s">
        <v>79</v>
      </c>
      <c r="AB39" s="36" t="s">
        <v>183</v>
      </c>
      <c r="AC39" s="35">
        <v>2016</v>
      </c>
      <c r="AD39" s="35">
        <v>6</v>
      </c>
      <c r="AE39" s="35">
        <v>27</v>
      </c>
      <c r="AF39" s="34" t="s">
        <v>184</v>
      </c>
      <c r="AG39" s="34" t="s">
        <v>97</v>
      </c>
      <c r="AH39" s="34" t="s">
        <v>185</v>
      </c>
      <c r="AI39" s="34" t="s">
        <v>80</v>
      </c>
      <c r="AK39" s="34" t="s">
        <v>186</v>
      </c>
      <c r="AL39" s="34" t="s">
        <v>187</v>
      </c>
      <c r="AM39" s="34" t="s">
        <v>188</v>
      </c>
      <c r="AO39" s="34">
        <v>619</v>
      </c>
      <c r="AP39" s="35">
        <f t="shared" si="0"/>
        <v>15</v>
      </c>
      <c r="AQ39" s="35">
        <f t="shared" si="1"/>
        <v>53</v>
      </c>
      <c r="AR39" s="35">
        <f t="shared" si="2"/>
        <v>17.37599999999702</v>
      </c>
      <c r="AS39" s="35">
        <f t="shared" si="3"/>
        <v>93</v>
      </c>
      <c r="AT39" s="35">
        <f t="shared" si="4"/>
        <v>16</v>
      </c>
      <c r="AU39" s="35">
        <f t="shared" si="5"/>
        <v>37.811999999993304</v>
      </c>
      <c r="AV39" s="35">
        <v>15.888159999999999</v>
      </c>
      <c r="AW39" s="35">
        <v>92.722830000000002</v>
      </c>
      <c r="AX39" s="34" t="s">
        <v>72</v>
      </c>
      <c r="AY39" s="35">
        <v>2016</v>
      </c>
      <c r="BB39" s="34" t="s">
        <v>122</v>
      </c>
      <c r="BC39" s="34" t="s">
        <v>85</v>
      </c>
      <c r="BD39" s="37" t="s">
        <v>109</v>
      </c>
      <c r="BE39" s="38" t="s">
        <v>110</v>
      </c>
      <c r="BF39" s="40" t="s">
        <v>129</v>
      </c>
      <c r="BH39" s="34" t="s">
        <v>104</v>
      </c>
      <c r="BJ39" s="39" t="s">
        <v>129</v>
      </c>
    </row>
    <row r="40" spans="2:62" s="9" customFormat="1" x14ac:dyDescent="0.2">
      <c r="B40" s="10" t="s">
        <v>69</v>
      </c>
      <c r="E40" s="9" t="s">
        <v>122</v>
      </c>
      <c r="F40" s="9" t="s">
        <v>189</v>
      </c>
      <c r="G40" s="9" t="s">
        <v>72</v>
      </c>
      <c r="H40" s="9" t="s">
        <v>73</v>
      </c>
      <c r="I40" s="9" t="s">
        <v>72</v>
      </c>
      <c r="J40" s="9" t="s">
        <v>74</v>
      </c>
      <c r="K40" s="9" t="s">
        <v>75</v>
      </c>
      <c r="L40" s="10">
        <v>1</v>
      </c>
      <c r="M40" s="9" t="s">
        <v>76</v>
      </c>
      <c r="Q40" s="9" t="s">
        <v>124</v>
      </c>
      <c r="R40" s="9" t="s">
        <v>77</v>
      </c>
      <c r="S40" s="9" t="s">
        <v>78</v>
      </c>
      <c r="V40" s="10"/>
      <c r="Y40" s="10"/>
      <c r="Z40" s="9" t="s">
        <v>79</v>
      </c>
      <c r="AB40" s="14" t="s">
        <v>183</v>
      </c>
      <c r="AC40" s="10">
        <v>2016</v>
      </c>
      <c r="AD40" s="10">
        <v>6</v>
      </c>
      <c r="AE40" s="10">
        <v>27</v>
      </c>
      <c r="AF40" s="9" t="s">
        <v>184</v>
      </c>
      <c r="AG40" s="9" t="s">
        <v>97</v>
      </c>
      <c r="AH40" s="9" t="s">
        <v>185</v>
      </c>
      <c r="AI40" s="9" t="s">
        <v>80</v>
      </c>
      <c r="AK40" s="9" t="s">
        <v>186</v>
      </c>
      <c r="AL40" s="9" t="s">
        <v>187</v>
      </c>
      <c r="AM40" s="9" t="s">
        <v>188</v>
      </c>
      <c r="AO40" s="9">
        <v>619</v>
      </c>
      <c r="AP40" s="10">
        <f t="shared" si="0"/>
        <v>15</v>
      </c>
      <c r="AQ40" s="10">
        <f t="shared" si="1"/>
        <v>53</v>
      </c>
      <c r="AR40" s="10">
        <f t="shared" si="2"/>
        <v>17.37599999999702</v>
      </c>
      <c r="AS40" s="10">
        <f t="shared" si="3"/>
        <v>93</v>
      </c>
      <c r="AT40" s="10">
        <f t="shared" si="4"/>
        <v>16</v>
      </c>
      <c r="AU40" s="10">
        <f t="shared" si="5"/>
        <v>37.811999999993304</v>
      </c>
      <c r="AV40" s="10">
        <v>15.888159999999999</v>
      </c>
      <c r="AW40" s="10">
        <v>92.722830000000002</v>
      </c>
      <c r="AX40" s="9" t="s">
        <v>72</v>
      </c>
      <c r="AY40" s="10">
        <v>2016</v>
      </c>
      <c r="BB40" s="9" t="s">
        <v>122</v>
      </c>
      <c r="BC40" s="9" t="s">
        <v>85</v>
      </c>
      <c r="BD40" s="15" t="s">
        <v>109</v>
      </c>
      <c r="BE40" s="16" t="s">
        <v>110</v>
      </c>
      <c r="BF40" s="18" t="s">
        <v>129</v>
      </c>
      <c r="BH40" s="9" t="s">
        <v>104</v>
      </c>
      <c r="BJ40" s="17" t="s">
        <v>129</v>
      </c>
    </row>
    <row r="41" spans="2:62" s="24" customFormat="1" x14ac:dyDescent="0.2">
      <c r="B41" s="25" t="s">
        <v>69</v>
      </c>
      <c r="E41" s="24" t="s">
        <v>122</v>
      </c>
      <c r="F41" s="24" t="s">
        <v>190</v>
      </c>
      <c r="G41" s="24" t="s">
        <v>72</v>
      </c>
      <c r="H41" s="24" t="s">
        <v>73</v>
      </c>
      <c r="I41" s="24" t="s">
        <v>72</v>
      </c>
      <c r="J41" s="24" t="s">
        <v>74</v>
      </c>
      <c r="K41" s="24" t="s">
        <v>75</v>
      </c>
      <c r="L41" s="25">
        <v>1</v>
      </c>
      <c r="M41" s="24" t="s">
        <v>76</v>
      </c>
      <c r="Q41" s="24" t="s">
        <v>124</v>
      </c>
      <c r="R41" s="24" t="s">
        <v>77</v>
      </c>
      <c r="S41" s="24" t="s">
        <v>78</v>
      </c>
      <c r="V41" s="25"/>
      <c r="Y41" s="25"/>
      <c r="Z41" s="24" t="s">
        <v>79</v>
      </c>
      <c r="AB41" s="26" t="s">
        <v>183</v>
      </c>
      <c r="AC41" s="25">
        <v>2016</v>
      </c>
      <c r="AD41" s="25">
        <v>6</v>
      </c>
      <c r="AE41" s="25">
        <v>27</v>
      </c>
      <c r="AF41" s="24" t="s">
        <v>184</v>
      </c>
      <c r="AG41" s="24" t="s">
        <v>97</v>
      </c>
      <c r="AH41" s="24" t="s">
        <v>185</v>
      </c>
      <c r="AI41" s="24" t="s">
        <v>80</v>
      </c>
      <c r="AK41" s="24" t="s">
        <v>186</v>
      </c>
      <c r="AL41" s="24" t="s">
        <v>187</v>
      </c>
      <c r="AM41" s="24" t="s">
        <v>188</v>
      </c>
      <c r="AO41" s="24">
        <v>619</v>
      </c>
      <c r="AP41" s="25">
        <f t="shared" si="0"/>
        <v>15</v>
      </c>
      <c r="AQ41" s="25">
        <f t="shared" si="1"/>
        <v>53</v>
      </c>
      <c r="AR41" s="25">
        <f t="shared" si="2"/>
        <v>17.37599999999702</v>
      </c>
      <c r="AS41" s="25">
        <f t="shared" si="3"/>
        <v>93</v>
      </c>
      <c r="AT41" s="25">
        <f t="shared" si="4"/>
        <v>16</v>
      </c>
      <c r="AU41" s="25">
        <f t="shared" si="5"/>
        <v>37.811999999993304</v>
      </c>
      <c r="AV41" s="25">
        <v>15.888159999999999</v>
      </c>
      <c r="AW41" s="25">
        <v>92.722830000000002</v>
      </c>
      <c r="AX41" s="24" t="s">
        <v>72</v>
      </c>
      <c r="AY41" s="25">
        <v>2016</v>
      </c>
      <c r="BB41" s="24" t="s">
        <v>122</v>
      </c>
      <c r="BC41" s="24" t="s">
        <v>85</v>
      </c>
      <c r="BD41" s="27" t="s">
        <v>109</v>
      </c>
      <c r="BE41" s="28" t="s">
        <v>110</v>
      </c>
      <c r="BF41" s="31" t="s">
        <v>129</v>
      </c>
      <c r="BH41" s="24" t="s">
        <v>104</v>
      </c>
      <c r="BJ41" s="29" t="s">
        <v>129</v>
      </c>
    </row>
    <row r="42" spans="2:62" s="24" customFormat="1" x14ac:dyDescent="0.2">
      <c r="B42" s="25" t="s">
        <v>69</v>
      </c>
      <c r="E42" s="24" t="s">
        <v>122</v>
      </c>
      <c r="F42" s="24" t="s">
        <v>191</v>
      </c>
      <c r="G42" s="24" t="s">
        <v>72</v>
      </c>
      <c r="H42" s="24" t="s">
        <v>73</v>
      </c>
      <c r="I42" s="24" t="s">
        <v>72</v>
      </c>
      <c r="J42" s="24" t="s">
        <v>74</v>
      </c>
      <c r="K42" s="24" t="s">
        <v>75</v>
      </c>
      <c r="L42" s="25">
        <v>1</v>
      </c>
      <c r="M42" s="24" t="s">
        <v>76</v>
      </c>
      <c r="Q42" s="24" t="s">
        <v>124</v>
      </c>
      <c r="R42" s="24" t="s">
        <v>77</v>
      </c>
      <c r="S42" s="24" t="s">
        <v>78</v>
      </c>
      <c r="V42" s="25"/>
      <c r="Y42" s="25"/>
      <c r="Z42" s="24" t="s">
        <v>79</v>
      </c>
      <c r="AB42" s="26" t="s">
        <v>183</v>
      </c>
      <c r="AC42" s="25">
        <v>2016</v>
      </c>
      <c r="AD42" s="25">
        <v>6</v>
      </c>
      <c r="AE42" s="25">
        <v>27</v>
      </c>
      <c r="AF42" s="24" t="s">
        <v>184</v>
      </c>
      <c r="AG42" s="24" t="s">
        <v>97</v>
      </c>
      <c r="AH42" s="24" t="s">
        <v>185</v>
      </c>
      <c r="AI42" s="24" t="s">
        <v>80</v>
      </c>
      <c r="AK42" s="24" t="s">
        <v>186</v>
      </c>
      <c r="AL42" s="24" t="s">
        <v>187</v>
      </c>
      <c r="AM42" s="24" t="s">
        <v>188</v>
      </c>
      <c r="AO42" s="24">
        <v>619</v>
      </c>
      <c r="AP42" s="25">
        <f t="shared" si="0"/>
        <v>15</v>
      </c>
      <c r="AQ42" s="25">
        <f t="shared" si="1"/>
        <v>53</v>
      </c>
      <c r="AR42" s="25">
        <f t="shared" si="2"/>
        <v>17.37599999999702</v>
      </c>
      <c r="AS42" s="25">
        <f t="shared" si="3"/>
        <v>93</v>
      </c>
      <c r="AT42" s="25">
        <f t="shared" si="4"/>
        <v>16</v>
      </c>
      <c r="AU42" s="25">
        <f t="shared" si="5"/>
        <v>37.811999999993304</v>
      </c>
      <c r="AV42" s="25">
        <v>15.888159999999999</v>
      </c>
      <c r="AW42" s="25">
        <v>92.722830000000002</v>
      </c>
      <c r="AX42" s="24" t="s">
        <v>72</v>
      </c>
      <c r="AY42" s="25">
        <v>2016</v>
      </c>
      <c r="BB42" s="24" t="s">
        <v>122</v>
      </c>
      <c r="BC42" s="24" t="s">
        <v>85</v>
      </c>
      <c r="BD42" s="27" t="s">
        <v>109</v>
      </c>
      <c r="BE42" s="28" t="s">
        <v>110</v>
      </c>
      <c r="BF42" s="31" t="s">
        <v>129</v>
      </c>
      <c r="BH42" s="24" t="s">
        <v>104</v>
      </c>
      <c r="BJ42" s="29" t="s">
        <v>129</v>
      </c>
    </row>
    <row r="43" spans="2:62" s="9" customFormat="1" x14ac:dyDescent="0.2">
      <c r="B43" s="10" t="s">
        <v>69</v>
      </c>
      <c r="E43" s="9" t="s">
        <v>122</v>
      </c>
      <c r="F43" s="9" t="s">
        <v>192</v>
      </c>
      <c r="G43" s="9" t="s">
        <v>72</v>
      </c>
      <c r="H43" s="9" t="s">
        <v>73</v>
      </c>
      <c r="I43" s="9" t="s">
        <v>72</v>
      </c>
      <c r="J43" s="9" t="s">
        <v>74</v>
      </c>
      <c r="K43" s="9" t="s">
        <v>75</v>
      </c>
      <c r="L43" s="10">
        <v>1</v>
      </c>
      <c r="M43" s="9" t="s">
        <v>76</v>
      </c>
      <c r="Q43" s="9" t="s">
        <v>124</v>
      </c>
      <c r="R43" s="9" t="s">
        <v>77</v>
      </c>
      <c r="S43" s="9" t="s">
        <v>78</v>
      </c>
      <c r="V43" s="10"/>
      <c r="Y43" s="10"/>
      <c r="Z43" s="9" t="s">
        <v>79</v>
      </c>
      <c r="AB43" s="14" t="s">
        <v>183</v>
      </c>
      <c r="AC43" s="10">
        <v>2016</v>
      </c>
      <c r="AD43" s="10">
        <v>6</v>
      </c>
      <c r="AE43" s="10">
        <v>27</v>
      </c>
      <c r="AF43" s="9" t="s">
        <v>184</v>
      </c>
      <c r="AG43" s="9" t="s">
        <v>97</v>
      </c>
      <c r="AH43" s="9" t="s">
        <v>185</v>
      </c>
      <c r="AI43" s="9" t="s">
        <v>80</v>
      </c>
      <c r="AK43" s="9" t="s">
        <v>186</v>
      </c>
      <c r="AL43" s="9" t="s">
        <v>187</v>
      </c>
      <c r="AM43" s="9" t="s">
        <v>188</v>
      </c>
      <c r="AO43" s="9">
        <v>619</v>
      </c>
      <c r="AP43" s="10">
        <f t="shared" si="0"/>
        <v>15</v>
      </c>
      <c r="AQ43" s="10">
        <f t="shared" si="1"/>
        <v>53</v>
      </c>
      <c r="AR43" s="10">
        <f t="shared" si="2"/>
        <v>17.37599999999702</v>
      </c>
      <c r="AS43" s="10">
        <f t="shared" si="3"/>
        <v>93</v>
      </c>
      <c r="AT43" s="10">
        <f t="shared" si="4"/>
        <v>16</v>
      </c>
      <c r="AU43" s="10">
        <f t="shared" si="5"/>
        <v>37.811999999993304</v>
      </c>
      <c r="AV43" s="10">
        <v>15.888159999999999</v>
      </c>
      <c r="AW43" s="10">
        <v>92.722830000000002</v>
      </c>
      <c r="AX43" s="9" t="s">
        <v>72</v>
      </c>
      <c r="AY43" s="10">
        <v>2016</v>
      </c>
      <c r="BB43" s="9" t="s">
        <v>122</v>
      </c>
      <c r="BC43" s="9" t="s">
        <v>85</v>
      </c>
      <c r="BD43" s="15" t="s">
        <v>109</v>
      </c>
      <c r="BE43" s="16" t="s">
        <v>110</v>
      </c>
      <c r="BF43" s="18" t="s">
        <v>129</v>
      </c>
      <c r="BH43" s="9" t="s">
        <v>104</v>
      </c>
      <c r="BJ43" s="17" t="s">
        <v>129</v>
      </c>
    </row>
    <row r="44" spans="2:62" s="9" customFormat="1" x14ac:dyDescent="0.2">
      <c r="B44" s="10" t="s">
        <v>69</v>
      </c>
      <c r="E44" s="9" t="s">
        <v>193</v>
      </c>
      <c r="F44" s="9" t="s">
        <v>194</v>
      </c>
      <c r="G44" s="9" t="s">
        <v>72</v>
      </c>
      <c r="H44" s="9" t="s">
        <v>73</v>
      </c>
      <c r="I44" s="9" t="s">
        <v>72</v>
      </c>
      <c r="J44" s="9" t="s">
        <v>74</v>
      </c>
      <c r="K44" s="9" t="s">
        <v>75</v>
      </c>
      <c r="L44" s="10">
        <v>1</v>
      </c>
      <c r="M44" s="9" t="s">
        <v>76</v>
      </c>
      <c r="Q44" s="9" t="s">
        <v>124</v>
      </c>
      <c r="R44" s="9" t="s">
        <v>77</v>
      </c>
      <c r="S44" s="9" t="s">
        <v>78</v>
      </c>
      <c r="V44" s="10"/>
      <c r="Y44" s="10"/>
      <c r="Z44" s="9" t="s">
        <v>79</v>
      </c>
      <c r="AB44" s="14" t="s">
        <v>170</v>
      </c>
      <c r="AC44" s="10">
        <v>2016</v>
      </c>
      <c r="AD44" s="10">
        <v>6</v>
      </c>
      <c r="AE44" s="10">
        <v>28</v>
      </c>
      <c r="AF44" s="9" t="s">
        <v>195</v>
      </c>
      <c r="AG44" s="9" t="s">
        <v>97</v>
      </c>
      <c r="AH44" s="9" t="s">
        <v>196</v>
      </c>
      <c r="AI44" s="9" t="s">
        <v>80</v>
      </c>
      <c r="AK44" s="9" t="s">
        <v>186</v>
      </c>
      <c r="AM44" s="9" t="s">
        <v>197</v>
      </c>
      <c r="AO44" s="9">
        <v>51</v>
      </c>
      <c r="AP44" s="10">
        <f t="shared" si="0"/>
        <v>15</v>
      </c>
      <c r="AQ44" s="10">
        <f t="shared" si="1"/>
        <v>42</v>
      </c>
      <c r="AR44" s="10">
        <f t="shared" si="2"/>
        <v>19.907999999998367</v>
      </c>
      <c r="AS44" s="10">
        <f t="shared" si="3"/>
        <v>94</v>
      </c>
      <c r="AT44" s="10">
        <f t="shared" si="4"/>
        <v>46</v>
      </c>
      <c r="AU44" s="10">
        <f t="shared" si="5"/>
        <v>39.575999999990472</v>
      </c>
      <c r="AV44" s="10">
        <v>15.70553</v>
      </c>
      <c r="AW44" s="10">
        <v>93.222340000000003</v>
      </c>
      <c r="AX44" s="9" t="s">
        <v>84</v>
      </c>
      <c r="AY44" s="10">
        <v>2016</v>
      </c>
      <c r="BB44" s="9" t="s">
        <v>193</v>
      </c>
      <c r="BC44" s="9" t="s">
        <v>85</v>
      </c>
      <c r="BD44" s="9" t="s">
        <v>198</v>
      </c>
      <c r="BE44" s="12" t="s">
        <v>199</v>
      </c>
      <c r="BF44" s="12"/>
      <c r="BH44" s="9" t="s">
        <v>104</v>
      </c>
      <c r="BJ44" s="12"/>
    </row>
    <row r="45" spans="2:62" s="24" customFormat="1" x14ac:dyDescent="0.2">
      <c r="B45" s="25" t="s">
        <v>69</v>
      </c>
      <c r="E45" s="24" t="s">
        <v>122</v>
      </c>
      <c r="F45" s="24" t="s">
        <v>200</v>
      </c>
      <c r="G45" s="24" t="s">
        <v>72</v>
      </c>
      <c r="H45" s="24" t="s">
        <v>73</v>
      </c>
      <c r="I45" s="24" t="s">
        <v>72</v>
      </c>
      <c r="J45" s="24" t="s">
        <v>74</v>
      </c>
      <c r="K45" s="24" t="s">
        <v>75</v>
      </c>
      <c r="L45" s="25">
        <v>1</v>
      </c>
      <c r="M45" s="24" t="s">
        <v>76</v>
      </c>
      <c r="N45" s="24" t="s">
        <v>201</v>
      </c>
      <c r="Q45" s="24" t="s">
        <v>124</v>
      </c>
      <c r="R45" s="24" t="s">
        <v>77</v>
      </c>
      <c r="S45" s="24" t="s">
        <v>78</v>
      </c>
      <c r="V45" s="25"/>
      <c r="Y45" s="25"/>
      <c r="Z45" s="24" t="s">
        <v>79</v>
      </c>
      <c r="AB45" s="26" t="s">
        <v>170</v>
      </c>
      <c r="AC45" s="25">
        <v>2016</v>
      </c>
      <c r="AD45" s="25">
        <v>6</v>
      </c>
      <c r="AE45" s="25">
        <v>28</v>
      </c>
      <c r="AF45" s="24" t="s">
        <v>195</v>
      </c>
      <c r="AG45" s="24" t="s">
        <v>97</v>
      </c>
      <c r="AH45" s="24" t="s">
        <v>202</v>
      </c>
      <c r="AI45" s="24" t="s">
        <v>80</v>
      </c>
      <c r="AK45" s="24" t="s">
        <v>186</v>
      </c>
      <c r="AM45" s="24" t="s">
        <v>203</v>
      </c>
      <c r="AO45" s="24">
        <v>189</v>
      </c>
      <c r="AP45" s="25">
        <v>15</v>
      </c>
      <c r="AQ45" s="25">
        <v>54</v>
      </c>
      <c r="AR45" s="25">
        <v>36.22</v>
      </c>
      <c r="AS45" s="25">
        <v>93</v>
      </c>
      <c r="AT45" s="25">
        <v>32</v>
      </c>
      <c r="AU45" s="25">
        <v>24.27</v>
      </c>
      <c r="AV45" s="25">
        <v>15.910304999999999</v>
      </c>
      <c r="AW45" s="25">
        <v>-93.539910000000006</v>
      </c>
      <c r="AX45" s="24" t="s">
        <v>72</v>
      </c>
      <c r="AY45" s="25">
        <v>2016</v>
      </c>
      <c r="BB45" s="24" t="s">
        <v>122</v>
      </c>
      <c r="BC45" s="24" t="s">
        <v>85</v>
      </c>
      <c r="BD45" s="27" t="s">
        <v>109</v>
      </c>
      <c r="BE45" s="28" t="s">
        <v>110</v>
      </c>
      <c r="BF45" s="31" t="s">
        <v>129</v>
      </c>
      <c r="BH45" s="24" t="s">
        <v>104</v>
      </c>
      <c r="BJ45" s="29" t="s">
        <v>129</v>
      </c>
    </row>
    <row r="46" spans="2:62" s="34" customFormat="1" x14ac:dyDescent="0.2">
      <c r="B46" s="35" t="s">
        <v>69</v>
      </c>
      <c r="E46" s="34" t="s">
        <v>122</v>
      </c>
      <c r="F46" s="34" t="s">
        <v>204</v>
      </c>
      <c r="G46" s="34" t="s">
        <v>72</v>
      </c>
      <c r="H46" s="34" t="s">
        <v>73</v>
      </c>
      <c r="I46" s="34" t="s">
        <v>72</v>
      </c>
      <c r="J46" s="34" t="s">
        <v>74</v>
      </c>
      <c r="K46" s="34" t="s">
        <v>75</v>
      </c>
      <c r="L46" s="35">
        <v>1</v>
      </c>
      <c r="M46" s="34" t="s">
        <v>76</v>
      </c>
      <c r="N46" s="34" t="s">
        <v>201</v>
      </c>
      <c r="Q46" s="34" t="s">
        <v>124</v>
      </c>
      <c r="R46" s="34" t="s">
        <v>77</v>
      </c>
      <c r="S46" s="34" t="s">
        <v>78</v>
      </c>
      <c r="V46" s="35"/>
      <c r="Y46" s="35"/>
      <c r="Z46" s="34" t="s">
        <v>79</v>
      </c>
      <c r="AB46" s="36" t="s">
        <v>170</v>
      </c>
      <c r="AC46" s="35">
        <v>2016</v>
      </c>
      <c r="AD46" s="35">
        <v>6</v>
      </c>
      <c r="AE46" s="35">
        <v>28</v>
      </c>
      <c r="AF46" s="34" t="s">
        <v>195</v>
      </c>
      <c r="AG46" s="34" t="s">
        <v>97</v>
      </c>
      <c r="AH46" s="34" t="s">
        <v>202</v>
      </c>
      <c r="AI46" s="34" t="s">
        <v>80</v>
      </c>
      <c r="AK46" s="34" t="s">
        <v>186</v>
      </c>
      <c r="AM46" s="34" t="s">
        <v>203</v>
      </c>
      <c r="AO46" s="34">
        <v>189</v>
      </c>
      <c r="AP46" s="35">
        <v>15</v>
      </c>
      <c r="AQ46" s="35">
        <v>54</v>
      </c>
      <c r="AR46" s="35">
        <v>36.22</v>
      </c>
      <c r="AS46" s="35">
        <v>93</v>
      </c>
      <c r="AT46" s="35">
        <v>32</v>
      </c>
      <c r="AU46" s="35">
        <v>24.27</v>
      </c>
      <c r="AV46" s="35">
        <v>15.910304999999999</v>
      </c>
      <c r="AW46" s="35">
        <v>-93.539910000000006</v>
      </c>
      <c r="AX46" s="34" t="s">
        <v>72</v>
      </c>
      <c r="AY46" s="35">
        <v>2016</v>
      </c>
      <c r="BB46" s="34" t="s">
        <v>122</v>
      </c>
      <c r="BC46" s="34" t="s">
        <v>85</v>
      </c>
      <c r="BD46" s="37" t="s">
        <v>109</v>
      </c>
      <c r="BE46" s="38" t="s">
        <v>110</v>
      </c>
      <c r="BF46" s="40" t="s">
        <v>129</v>
      </c>
      <c r="BH46" s="34" t="s">
        <v>104</v>
      </c>
      <c r="BJ46" s="39" t="s">
        <v>129</v>
      </c>
    </row>
    <row r="47" spans="2:62" s="9" customFormat="1" x14ac:dyDescent="0.2">
      <c r="B47" s="10" t="s">
        <v>69</v>
      </c>
      <c r="E47" s="9" t="s">
        <v>122</v>
      </c>
      <c r="F47" s="9" t="s">
        <v>205</v>
      </c>
      <c r="G47" s="9" t="s">
        <v>72</v>
      </c>
      <c r="H47" s="9" t="s">
        <v>73</v>
      </c>
      <c r="I47" s="9" t="s">
        <v>72</v>
      </c>
      <c r="J47" s="9" t="s">
        <v>74</v>
      </c>
      <c r="K47" s="9" t="s">
        <v>75</v>
      </c>
      <c r="L47" s="10">
        <v>1</v>
      </c>
      <c r="M47" s="9" t="s">
        <v>76</v>
      </c>
      <c r="N47" s="9" t="s">
        <v>201</v>
      </c>
      <c r="Q47" s="9" t="s">
        <v>124</v>
      </c>
      <c r="R47" s="9" t="s">
        <v>77</v>
      </c>
      <c r="S47" s="9" t="s">
        <v>78</v>
      </c>
      <c r="V47" s="10"/>
      <c r="Y47" s="10"/>
      <c r="Z47" s="9" t="s">
        <v>79</v>
      </c>
      <c r="AB47" s="14" t="s">
        <v>170</v>
      </c>
      <c r="AC47" s="10">
        <v>2016</v>
      </c>
      <c r="AD47" s="10">
        <v>6</v>
      </c>
      <c r="AE47" s="10">
        <v>28</v>
      </c>
      <c r="AF47" s="9" t="s">
        <v>195</v>
      </c>
      <c r="AG47" s="9" t="s">
        <v>97</v>
      </c>
      <c r="AH47" s="9" t="s">
        <v>202</v>
      </c>
      <c r="AI47" s="9" t="s">
        <v>80</v>
      </c>
      <c r="AK47" s="9" t="s">
        <v>186</v>
      </c>
      <c r="AM47" s="9" t="s">
        <v>203</v>
      </c>
      <c r="AO47" s="9">
        <v>189</v>
      </c>
      <c r="AP47" s="10">
        <v>15</v>
      </c>
      <c r="AQ47" s="10">
        <v>54</v>
      </c>
      <c r="AR47" s="10">
        <v>36.22</v>
      </c>
      <c r="AS47" s="10">
        <v>93</v>
      </c>
      <c r="AT47" s="10">
        <v>32</v>
      </c>
      <c r="AU47" s="10">
        <v>24.27</v>
      </c>
      <c r="AV47" s="10">
        <v>15.910304999999999</v>
      </c>
      <c r="AW47" s="10">
        <v>-93.539910000000006</v>
      </c>
      <c r="AX47" s="9" t="s">
        <v>72</v>
      </c>
      <c r="AY47" s="10">
        <v>2016</v>
      </c>
      <c r="BB47" s="9" t="s">
        <v>122</v>
      </c>
      <c r="BC47" s="9" t="s">
        <v>85</v>
      </c>
      <c r="BD47" s="15" t="s">
        <v>109</v>
      </c>
      <c r="BE47" s="16" t="s">
        <v>110</v>
      </c>
      <c r="BF47" s="18" t="s">
        <v>129</v>
      </c>
      <c r="BH47" s="9" t="s">
        <v>104</v>
      </c>
      <c r="BJ47" s="17" t="s">
        <v>129</v>
      </c>
    </row>
    <row r="48" spans="2:62" s="9" customFormat="1" x14ac:dyDescent="0.2">
      <c r="B48" s="10" t="s">
        <v>69</v>
      </c>
      <c r="E48" s="9" t="s">
        <v>122</v>
      </c>
      <c r="F48" s="9" t="s">
        <v>206</v>
      </c>
      <c r="G48" s="9" t="s">
        <v>72</v>
      </c>
      <c r="H48" s="9" t="s">
        <v>73</v>
      </c>
      <c r="I48" s="9" t="s">
        <v>72</v>
      </c>
      <c r="J48" s="9" t="s">
        <v>74</v>
      </c>
      <c r="K48" s="9" t="s">
        <v>75</v>
      </c>
      <c r="L48" s="10">
        <v>1</v>
      </c>
      <c r="M48" s="9" t="s">
        <v>76</v>
      </c>
      <c r="N48" s="9" t="s">
        <v>201</v>
      </c>
      <c r="Q48" s="9" t="s">
        <v>124</v>
      </c>
      <c r="R48" s="9" t="s">
        <v>77</v>
      </c>
      <c r="S48" s="9" t="s">
        <v>78</v>
      </c>
      <c r="V48" s="10"/>
      <c r="Y48" s="10"/>
      <c r="Z48" s="9" t="s">
        <v>79</v>
      </c>
      <c r="AB48" s="14" t="s">
        <v>170</v>
      </c>
      <c r="AC48" s="10">
        <v>2016</v>
      </c>
      <c r="AD48" s="10">
        <v>6</v>
      </c>
      <c r="AE48" s="10">
        <v>28</v>
      </c>
      <c r="AF48" s="9" t="s">
        <v>195</v>
      </c>
      <c r="AG48" s="9" t="s">
        <v>97</v>
      </c>
      <c r="AH48" s="9" t="s">
        <v>202</v>
      </c>
      <c r="AI48" s="9" t="s">
        <v>80</v>
      </c>
      <c r="AK48" s="9" t="s">
        <v>186</v>
      </c>
      <c r="AM48" s="9" t="s">
        <v>203</v>
      </c>
      <c r="AO48" s="9">
        <v>189</v>
      </c>
      <c r="AP48" s="10">
        <v>15</v>
      </c>
      <c r="AQ48" s="10">
        <v>54</v>
      </c>
      <c r="AR48" s="10">
        <v>36.22</v>
      </c>
      <c r="AS48" s="10">
        <v>93</v>
      </c>
      <c r="AT48" s="10">
        <v>32</v>
      </c>
      <c r="AU48" s="10">
        <v>24.27</v>
      </c>
      <c r="AV48" s="10">
        <v>15.910304999999999</v>
      </c>
      <c r="AW48" s="10">
        <v>-93.539910000000006</v>
      </c>
      <c r="AX48" s="9" t="s">
        <v>72</v>
      </c>
      <c r="AY48" s="10">
        <v>2016</v>
      </c>
      <c r="BB48" s="9" t="s">
        <v>122</v>
      </c>
      <c r="BC48" s="9" t="s">
        <v>85</v>
      </c>
      <c r="BD48" s="15" t="s">
        <v>109</v>
      </c>
      <c r="BE48" s="16" t="s">
        <v>110</v>
      </c>
      <c r="BF48" s="18" t="s">
        <v>129</v>
      </c>
      <c r="BH48" s="9" t="s">
        <v>104</v>
      </c>
      <c r="BJ48" s="17" t="s">
        <v>129</v>
      </c>
    </row>
    <row r="49" spans="2:62" s="9" customFormat="1" x14ac:dyDescent="0.2">
      <c r="B49" s="10" t="s">
        <v>69</v>
      </c>
      <c r="E49" s="9" t="s">
        <v>122</v>
      </c>
      <c r="F49" s="9" t="s">
        <v>207</v>
      </c>
      <c r="G49" s="9" t="s">
        <v>72</v>
      </c>
      <c r="H49" s="9" t="s">
        <v>73</v>
      </c>
      <c r="I49" s="9" t="s">
        <v>72</v>
      </c>
      <c r="J49" s="9" t="s">
        <v>74</v>
      </c>
      <c r="K49" s="9" t="s">
        <v>75</v>
      </c>
      <c r="L49" s="10">
        <v>1</v>
      </c>
      <c r="M49" s="9" t="s">
        <v>76</v>
      </c>
      <c r="N49" s="9" t="s">
        <v>201</v>
      </c>
      <c r="Q49" s="9" t="s">
        <v>124</v>
      </c>
      <c r="R49" s="9" t="s">
        <v>77</v>
      </c>
      <c r="S49" s="9" t="s">
        <v>78</v>
      </c>
      <c r="V49" s="10"/>
      <c r="Y49" s="10"/>
      <c r="Z49" s="9" t="s">
        <v>79</v>
      </c>
      <c r="AB49" s="14" t="s">
        <v>170</v>
      </c>
      <c r="AC49" s="10">
        <v>2016</v>
      </c>
      <c r="AD49" s="10">
        <v>6</v>
      </c>
      <c r="AE49" s="10">
        <v>28</v>
      </c>
      <c r="AF49" s="9" t="s">
        <v>195</v>
      </c>
      <c r="AG49" s="9" t="s">
        <v>97</v>
      </c>
      <c r="AH49" s="9" t="s">
        <v>202</v>
      </c>
      <c r="AI49" s="9" t="s">
        <v>80</v>
      </c>
      <c r="AK49" s="9" t="s">
        <v>186</v>
      </c>
      <c r="AM49" s="9" t="s">
        <v>203</v>
      </c>
      <c r="AO49" s="9">
        <v>189</v>
      </c>
      <c r="AP49" s="10">
        <v>15</v>
      </c>
      <c r="AQ49" s="10">
        <v>54</v>
      </c>
      <c r="AR49" s="10">
        <v>36.22</v>
      </c>
      <c r="AS49" s="10">
        <v>93</v>
      </c>
      <c r="AT49" s="10">
        <v>32</v>
      </c>
      <c r="AU49" s="10">
        <v>24.27</v>
      </c>
      <c r="AV49" s="10">
        <v>15.910304999999999</v>
      </c>
      <c r="AW49" s="10">
        <v>-93.539910000000006</v>
      </c>
      <c r="AX49" s="9" t="s">
        <v>72</v>
      </c>
      <c r="AY49" s="10">
        <v>2016</v>
      </c>
      <c r="BB49" s="9" t="s">
        <v>122</v>
      </c>
      <c r="BC49" s="9" t="s">
        <v>85</v>
      </c>
      <c r="BD49" s="15" t="s">
        <v>109</v>
      </c>
      <c r="BE49" s="16" t="s">
        <v>110</v>
      </c>
      <c r="BF49" s="18" t="s">
        <v>129</v>
      </c>
      <c r="BH49" s="9" t="s">
        <v>104</v>
      </c>
      <c r="BJ49" s="17" t="s">
        <v>129</v>
      </c>
    </row>
    <row r="50" spans="2:62" s="9" customFormat="1" x14ac:dyDescent="0.2">
      <c r="B50" s="10" t="s">
        <v>69</v>
      </c>
      <c r="E50" s="9" t="s">
        <v>122</v>
      </c>
      <c r="F50" s="9" t="s">
        <v>208</v>
      </c>
      <c r="G50" s="9" t="s">
        <v>72</v>
      </c>
      <c r="H50" s="9" t="s">
        <v>73</v>
      </c>
      <c r="I50" s="9" t="s">
        <v>72</v>
      </c>
      <c r="J50" s="9" t="s">
        <v>74</v>
      </c>
      <c r="K50" s="9" t="s">
        <v>75</v>
      </c>
      <c r="L50" s="10">
        <v>1</v>
      </c>
      <c r="M50" s="9" t="s">
        <v>76</v>
      </c>
      <c r="N50" s="9" t="s">
        <v>201</v>
      </c>
      <c r="Q50" s="9" t="s">
        <v>124</v>
      </c>
      <c r="R50" s="9" t="s">
        <v>77</v>
      </c>
      <c r="S50" s="9" t="s">
        <v>78</v>
      </c>
      <c r="V50" s="10"/>
      <c r="Y50" s="10"/>
      <c r="Z50" s="9" t="s">
        <v>79</v>
      </c>
      <c r="AB50" s="14" t="s">
        <v>170</v>
      </c>
      <c r="AC50" s="10">
        <v>2016</v>
      </c>
      <c r="AD50" s="10">
        <v>6</v>
      </c>
      <c r="AE50" s="10">
        <v>28</v>
      </c>
      <c r="AF50" s="9" t="s">
        <v>195</v>
      </c>
      <c r="AG50" s="9" t="s">
        <v>97</v>
      </c>
      <c r="AH50" s="9" t="s">
        <v>202</v>
      </c>
      <c r="AI50" s="9" t="s">
        <v>80</v>
      </c>
      <c r="AK50" s="9" t="s">
        <v>186</v>
      </c>
      <c r="AM50" s="9" t="s">
        <v>203</v>
      </c>
      <c r="AO50" s="9">
        <v>189</v>
      </c>
      <c r="AP50" s="10">
        <v>15</v>
      </c>
      <c r="AQ50" s="10">
        <v>54</v>
      </c>
      <c r="AR50" s="10">
        <v>36.22</v>
      </c>
      <c r="AS50" s="10">
        <v>93</v>
      </c>
      <c r="AT50" s="10">
        <v>32</v>
      </c>
      <c r="AU50" s="10">
        <v>24.27</v>
      </c>
      <c r="AV50" s="10">
        <v>15.910304999999999</v>
      </c>
      <c r="AW50" s="10">
        <v>-93.539910000000006</v>
      </c>
      <c r="AX50" s="9" t="s">
        <v>72</v>
      </c>
      <c r="AY50" s="10">
        <v>2016</v>
      </c>
      <c r="BB50" s="9" t="s">
        <v>122</v>
      </c>
      <c r="BC50" s="9" t="s">
        <v>85</v>
      </c>
      <c r="BD50" s="15" t="s">
        <v>109</v>
      </c>
      <c r="BE50" s="16" t="s">
        <v>110</v>
      </c>
      <c r="BF50" s="18" t="s">
        <v>129</v>
      </c>
      <c r="BH50" s="9" t="s">
        <v>104</v>
      </c>
      <c r="BJ50" s="17" t="s">
        <v>129</v>
      </c>
    </row>
    <row r="51" spans="2:62" s="24" customFormat="1" x14ac:dyDescent="0.2">
      <c r="B51" s="25" t="s">
        <v>69</v>
      </c>
      <c r="E51" s="24" t="s">
        <v>122</v>
      </c>
      <c r="F51" s="24" t="s">
        <v>209</v>
      </c>
      <c r="G51" s="24" t="s">
        <v>72</v>
      </c>
      <c r="H51" s="24" t="s">
        <v>73</v>
      </c>
      <c r="I51" s="24" t="s">
        <v>72</v>
      </c>
      <c r="J51" s="24" t="s">
        <v>74</v>
      </c>
      <c r="K51" s="24" t="s">
        <v>75</v>
      </c>
      <c r="L51" s="25">
        <v>1</v>
      </c>
      <c r="M51" s="24" t="s">
        <v>76</v>
      </c>
      <c r="Q51" s="24" t="s">
        <v>124</v>
      </c>
      <c r="R51" s="24" t="s">
        <v>77</v>
      </c>
      <c r="S51" s="24" t="s">
        <v>78</v>
      </c>
      <c r="V51" s="25"/>
      <c r="Y51" s="25"/>
      <c r="Z51" s="24" t="s">
        <v>79</v>
      </c>
      <c r="AB51" s="26" t="s">
        <v>210</v>
      </c>
      <c r="AC51" s="25">
        <v>2016</v>
      </c>
      <c r="AD51" s="25">
        <v>6</v>
      </c>
      <c r="AE51" s="25">
        <v>28</v>
      </c>
      <c r="AF51" s="24" t="s">
        <v>195</v>
      </c>
      <c r="AG51" s="24" t="s">
        <v>97</v>
      </c>
      <c r="AH51" s="24" t="s">
        <v>211</v>
      </c>
      <c r="AI51" s="24" t="s">
        <v>80</v>
      </c>
      <c r="AK51" s="24" t="s">
        <v>186</v>
      </c>
      <c r="AM51" s="24" t="s">
        <v>212</v>
      </c>
      <c r="AN51" s="24">
        <v>56.4</v>
      </c>
      <c r="AO51" s="24">
        <v>16</v>
      </c>
      <c r="AP51" s="25">
        <f t="shared" ref="AP51:AP79" si="6">FLOOR(AV51,1)</f>
        <v>15</v>
      </c>
      <c r="AQ51" s="25">
        <f t="shared" ref="AQ51:AQ79" si="7">INT((AV51-AP51)*60)</f>
        <v>37</v>
      </c>
      <c r="AR51" s="25">
        <f t="shared" ref="AR51:AR79" si="8">(((AV51-AP51)*60)-AQ51)*60</f>
        <v>31.944000000003143</v>
      </c>
      <c r="AS51" s="25">
        <f t="shared" ref="AS51:AS79" si="9">CEILING(AW51,1)</f>
        <v>94</v>
      </c>
      <c r="AT51" s="25">
        <f t="shared" ref="AT51:AT79" si="10">INT(((AW51-AS51)*60)*-1)</f>
        <v>41</v>
      </c>
      <c r="AU51" s="25">
        <f t="shared" ref="AU51:AU79" si="11">((((AW51-AS51)*60)*-1)-AT51)*60</f>
        <v>41.42399999999725</v>
      </c>
      <c r="AV51" s="25">
        <v>15.625540000000001</v>
      </c>
      <c r="AW51" s="25">
        <v>93.305160000000001</v>
      </c>
      <c r="AX51" s="24" t="s">
        <v>72</v>
      </c>
      <c r="AY51" s="25">
        <v>2016</v>
      </c>
      <c r="BB51" s="24" t="s">
        <v>122</v>
      </c>
      <c r="BC51" s="24" t="s">
        <v>85</v>
      </c>
      <c r="BD51" s="27" t="s">
        <v>109</v>
      </c>
      <c r="BE51" s="28" t="s">
        <v>110</v>
      </c>
      <c r="BF51" s="31" t="s">
        <v>129</v>
      </c>
      <c r="BH51" s="24" t="s">
        <v>104</v>
      </c>
      <c r="BJ51" s="29" t="s">
        <v>129</v>
      </c>
    </row>
    <row r="52" spans="2:62" s="34" customFormat="1" x14ac:dyDescent="0.2">
      <c r="B52" s="35" t="s">
        <v>69</v>
      </c>
      <c r="E52" s="34" t="s">
        <v>122</v>
      </c>
      <c r="F52" s="34" t="s">
        <v>213</v>
      </c>
      <c r="G52" s="34" t="s">
        <v>72</v>
      </c>
      <c r="H52" s="34" t="s">
        <v>73</v>
      </c>
      <c r="I52" s="34" t="s">
        <v>72</v>
      </c>
      <c r="J52" s="34" t="s">
        <v>74</v>
      </c>
      <c r="K52" s="34" t="s">
        <v>75</v>
      </c>
      <c r="L52" s="35">
        <v>1</v>
      </c>
      <c r="M52" s="34" t="s">
        <v>76</v>
      </c>
      <c r="Q52" s="34" t="s">
        <v>124</v>
      </c>
      <c r="R52" s="34" t="s">
        <v>77</v>
      </c>
      <c r="S52" s="34" t="s">
        <v>78</v>
      </c>
      <c r="V52" s="35"/>
      <c r="Y52" s="35"/>
      <c r="Z52" s="34" t="s">
        <v>79</v>
      </c>
      <c r="AB52" s="36" t="s">
        <v>214</v>
      </c>
      <c r="AC52" s="35">
        <v>2016</v>
      </c>
      <c r="AD52" s="35">
        <v>6</v>
      </c>
      <c r="AE52" s="35">
        <v>28</v>
      </c>
      <c r="AF52" s="34" t="s">
        <v>195</v>
      </c>
      <c r="AG52" s="34" t="s">
        <v>97</v>
      </c>
      <c r="AH52" s="34" t="s">
        <v>211</v>
      </c>
      <c r="AI52" s="34" t="s">
        <v>80</v>
      </c>
      <c r="AK52" s="34" t="s">
        <v>186</v>
      </c>
      <c r="AM52" s="34" t="s">
        <v>212</v>
      </c>
      <c r="AO52" s="34">
        <v>16</v>
      </c>
      <c r="AP52" s="35">
        <f t="shared" si="6"/>
        <v>15</v>
      </c>
      <c r="AQ52" s="35">
        <f t="shared" si="7"/>
        <v>37</v>
      </c>
      <c r="AR52" s="35">
        <f t="shared" si="8"/>
        <v>31.944000000003143</v>
      </c>
      <c r="AS52" s="35">
        <f t="shared" si="9"/>
        <v>94</v>
      </c>
      <c r="AT52" s="35">
        <f t="shared" si="10"/>
        <v>41</v>
      </c>
      <c r="AU52" s="35">
        <f t="shared" si="11"/>
        <v>41.42399999999725</v>
      </c>
      <c r="AV52" s="35">
        <v>15.625540000000001</v>
      </c>
      <c r="AW52" s="35">
        <v>93.305160000000001</v>
      </c>
      <c r="AX52" s="34" t="s">
        <v>72</v>
      </c>
      <c r="AY52" s="35">
        <v>2016</v>
      </c>
      <c r="BB52" s="34" t="s">
        <v>122</v>
      </c>
      <c r="BC52" s="34" t="s">
        <v>85</v>
      </c>
      <c r="BD52" s="37" t="s">
        <v>109</v>
      </c>
      <c r="BE52" s="38" t="s">
        <v>110</v>
      </c>
      <c r="BF52" s="40" t="s">
        <v>129</v>
      </c>
      <c r="BH52" s="34" t="s">
        <v>104</v>
      </c>
      <c r="BJ52" s="39" t="s">
        <v>129</v>
      </c>
    </row>
    <row r="53" spans="2:62" s="9" customFormat="1" x14ac:dyDescent="0.2">
      <c r="B53" s="10" t="s">
        <v>69</v>
      </c>
      <c r="E53" s="9" t="s">
        <v>122</v>
      </c>
      <c r="F53" s="9" t="s">
        <v>215</v>
      </c>
      <c r="G53" s="9" t="s">
        <v>72</v>
      </c>
      <c r="H53" s="9" t="s">
        <v>73</v>
      </c>
      <c r="I53" s="9" t="s">
        <v>72</v>
      </c>
      <c r="J53" s="9" t="s">
        <v>74</v>
      </c>
      <c r="K53" s="9" t="s">
        <v>75</v>
      </c>
      <c r="L53" s="10">
        <v>1</v>
      </c>
      <c r="M53" s="9" t="s">
        <v>76</v>
      </c>
      <c r="Q53" s="9" t="s">
        <v>124</v>
      </c>
      <c r="R53" s="9" t="s">
        <v>77</v>
      </c>
      <c r="S53" s="9" t="s">
        <v>78</v>
      </c>
      <c r="V53" s="10"/>
      <c r="Y53" s="10"/>
      <c r="Z53" s="9" t="s">
        <v>79</v>
      </c>
      <c r="AB53" s="14" t="s">
        <v>216</v>
      </c>
      <c r="AC53" s="10">
        <v>2016</v>
      </c>
      <c r="AD53" s="10">
        <v>6</v>
      </c>
      <c r="AE53" s="10">
        <v>28</v>
      </c>
      <c r="AF53" s="9" t="s">
        <v>195</v>
      </c>
      <c r="AG53" s="9" t="s">
        <v>97</v>
      </c>
      <c r="AH53" s="9" t="s">
        <v>211</v>
      </c>
      <c r="AI53" s="9" t="s">
        <v>80</v>
      </c>
      <c r="AK53" s="9" t="s">
        <v>186</v>
      </c>
      <c r="AM53" s="9" t="s">
        <v>212</v>
      </c>
      <c r="AO53" s="9">
        <v>16</v>
      </c>
      <c r="AP53" s="10">
        <f t="shared" si="6"/>
        <v>15</v>
      </c>
      <c r="AQ53" s="10">
        <f t="shared" si="7"/>
        <v>37</v>
      </c>
      <c r="AR53" s="10">
        <f t="shared" si="8"/>
        <v>31.944000000003143</v>
      </c>
      <c r="AS53" s="10">
        <f t="shared" si="9"/>
        <v>94</v>
      </c>
      <c r="AT53" s="10">
        <f t="shared" si="10"/>
        <v>41</v>
      </c>
      <c r="AU53" s="10">
        <f t="shared" si="11"/>
        <v>41.42399999999725</v>
      </c>
      <c r="AV53" s="10">
        <v>15.625540000000001</v>
      </c>
      <c r="AW53" s="10">
        <v>93.305160000000001</v>
      </c>
      <c r="AX53" s="9" t="s">
        <v>72</v>
      </c>
      <c r="AY53" s="10">
        <v>2016</v>
      </c>
      <c r="BB53" s="9" t="s">
        <v>122</v>
      </c>
      <c r="BC53" s="9" t="s">
        <v>85</v>
      </c>
      <c r="BD53" s="15" t="s">
        <v>109</v>
      </c>
      <c r="BE53" s="16" t="s">
        <v>110</v>
      </c>
      <c r="BF53" s="18" t="s">
        <v>129</v>
      </c>
      <c r="BH53" s="9" t="s">
        <v>104</v>
      </c>
      <c r="BJ53" s="17" t="s">
        <v>129</v>
      </c>
    </row>
    <row r="54" spans="2:62" s="9" customFormat="1" x14ac:dyDescent="0.2">
      <c r="B54" s="10" t="s">
        <v>69</v>
      </c>
      <c r="E54" s="9" t="s">
        <v>122</v>
      </c>
      <c r="F54" s="9" t="s">
        <v>217</v>
      </c>
      <c r="G54" s="9" t="s">
        <v>72</v>
      </c>
      <c r="H54" s="9" t="s">
        <v>73</v>
      </c>
      <c r="I54" s="9" t="s">
        <v>72</v>
      </c>
      <c r="J54" s="9" t="s">
        <v>74</v>
      </c>
      <c r="K54" s="9" t="s">
        <v>75</v>
      </c>
      <c r="L54" s="10">
        <v>1</v>
      </c>
      <c r="M54" s="9" t="s">
        <v>76</v>
      </c>
      <c r="Q54" s="9" t="s">
        <v>124</v>
      </c>
      <c r="R54" s="9" t="s">
        <v>77</v>
      </c>
      <c r="S54" s="9" t="s">
        <v>78</v>
      </c>
      <c r="V54" s="10"/>
      <c r="Y54" s="10"/>
      <c r="Z54" s="9" t="s">
        <v>79</v>
      </c>
      <c r="AB54" s="14" t="s">
        <v>218</v>
      </c>
      <c r="AC54" s="10">
        <v>2016</v>
      </c>
      <c r="AD54" s="10">
        <v>6</v>
      </c>
      <c r="AE54" s="10">
        <v>28</v>
      </c>
      <c r="AF54" s="9" t="s">
        <v>195</v>
      </c>
      <c r="AG54" s="9" t="s">
        <v>97</v>
      </c>
      <c r="AH54" s="9" t="s">
        <v>211</v>
      </c>
      <c r="AI54" s="9" t="s">
        <v>80</v>
      </c>
      <c r="AK54" s="9" t="s">
        <v>186</v>
      </c>
      <c r="AM54" s="9" t="s">
        <v>212</v>
      </c>
      <c r="AO54" s="9">
        <v>16</v>
      </c>
      <c r="AP54" s="10">
        <f t="shared" si="6"/>
        <v>15</v>
      </c>
      <c r="AQ54" s="10">
        <f t="shared" si="7"/>
        <v>37</v>
      </c>
      <c r="AR54" s="10">
        <f t="shared" si="8"/>
        <v>31.944000000003143</v>
      </c>
      <c r="AS54" s="10">
        <f t="shared" si="9"/>
        <v>94</v>
      </c>
      <c r="AT54" s="10">
        <f t="shared" si="10"/>
        <v>41</v>
      </c>
      <c r="AU54" s="10">
        <f t="shared" si="11"/>
        <v>41.42399999999725</v>
      </c>
      <c r="AV54" s="10">
        <v>15.625540000000001</v>
      </c>
      <c r="AW54" s="10">
        <v>93.305160000000001</v>
      </c>
      <c r="AX54" s="9" t="s">
        <v>72</v>
      </c>
      <c r="AY54" s="10">
        <v>2016</v>
      </c>
      <c r="BB54" s="9" t="s">
        <v>122</v>
      </c>
      <c r="BC54" s="9" t="s">
        <v>85</v>
      </c>
      <c r="BD54" s="15" t="s">
        <v>109</v>
      </c>
      <c r="BE54" s="16" t="s">
        <v>110</v>
      </c>
      <c r="BF54" s="18" t="s">
        <v>129</v>
      </c>
      <c r="BH54" s="9" t="s">
        <v>104</v>
      </c>
      <c r="BJ54" s="17" t="s">
        <v>129</v>
      </c>
    </row>
    <row r="55" spans="2:62" s="9" customFormat="1" x14ac:dyDescent="0.2">
      <c r="B55" s="10" t="s">
        <v>69</v>
      </c>
      <c r="E55" s="9" t="s">
        <v>122</v>
      </c>
      <c r="F55" s="9" t="s">
        <v>219</v>
      </c>
      <c r="G55" s="9" t="s">
        <v>72</v>
      </c>
      <c r="H55" s="9" t="s">
        <v>73</v>
      </c>
      <c r="I55" s="9" t="s">
        <v>72</v>
      </c>
      <c r="J55" s="9" t="s">
        <v>74</v>
      </c>
      <c r="K55" s="9" t="s">
        <v>75</v>
      </c>
      <c r="L55" s="10">
        <v>1</v>
      </c>
      <c r="M55" s="9" t="s">
        <v>76</v>
      </c>
      <c r="Q55" s="9" t="s">
        <v>124</v>
      </c>
      <c r="R55" s="9" t="s">
        <v>77</v>
      </c>
      <c r="S55" s="9" t="s">
        <v>78</v>
      </c>
      <c r="V55" s="10"/>
      <c r="Y55" s="10"/>
      <c r="Z55" s="9" t="s">
        <v>79</v>
      </c>
      <c r="AB55" s="14" t="s">
        <v>220</v>
      </c>
      <c r="AC55" s="10">
        <v>2016</v>
      </c>
      <c r="AD55" s="10">
        <v>6</v>
      </c>
      <c r="AE55" s="10">
        <v>28</v>
      </c>
      <c r="AF55" s="9" t="s">
        <v>195</v>
      </c>
      <c r="AG55" s="9" t="s">
        <v>97</v>
      </c>
      <c r="AH55" s="9" t="s">
        <v>211</v>
      </c>
      <c r="AI55" s="9" t="s">
        <v>80</v>
      </c>
      <c r="AK55" s="9" t="s">
        <v>186</v>
      </c>
      <c r="AM55" s="9" t="s">
        <v>212</v>
      </c>
      <c r="AO55" s="9">
        <v>16</v>
      </c>
      <c r="AP55" s="10">
        <f t="shared" si="6"/>
        <v>15</v>
      </c>
      <c r="AQ55" s="10">
        <f t="shared" si="7"/>
        <v>37</v>
      </c>
      <c r="AR55" s="10">
        <f t="shared" si="8"/>
        <v>31.944000000003143</v>
      </c>
      <c r="AS55" s="10">
        <f t="shared" si="9"/>
        <v>94</v>
      </c>
      <c r="AT55" s="10">
        <f t="shared" si="10"/>
        <v>41</v>
      </c>
      <c r="AU55" s="10">
        <f t="shared" si="11"/>
        <v>41.42399999999725</v>
      </c>
      <c r="AV55" s="10">
        <v>15.625540000000001</v>
      </c>
      <c r="AW55" s="10">
        <v>93.305160000000001</v>
      </c>
      <c r="AX55" s="9" t="s">
        <v>72</v>
      </c>
      <c r="AY55" s="10">
        <v>2016</v>
      </c>
      <c r="BB55" s="9" t="s">
        <v>122</v>
      </c>
      <c r="BC55" s="9" t="s">
        <v>85</v>
      </c>
      <c r="BD55" s="15" t="s">
        <v>109</v>
      </c>
      <c r="BE55" s="16" t="s">
        <v>110</v>
      </c>
      <c r="BF55" s="18" t="s">
        <v>129</v>
      </c>
      <c r="BH55" s="9" t="s">
        <v>104</v>
      </c>
      <c r="BJ55" s="17" t="s">
        <v>129</v>
      </c>
    </row>
    <row r="56" spans="2:62" s="9" customFormat="1" x14ac:dyDescent="0.2">
      <c r="B56" s="10" t="s">
        <v>69</v>
      </c>
      <c r="E56" s="9" t="s">
        <v>221</v>
      </c>
      <c r="F56" s="9" t="s">
        <v>222</v>
      </c>
      <c r="G56" s="9" t="s">
        <v>72</v>
      </c>
      <c r="H56" s="9" t="s">
        <v>73</v>
      </c>
      <c r="I56" s="9" t="s">
        <v>72</v>
      </c>
      <c r="J56" s="9" t="s">
        <v>74</v>
      </c>
      <c r="K56" s="9" t="s">
        <v>75</v>
      </c>
      <c r="L56" s="10">
        <v>1</v>
      </c>
      <c r="M56" s="9" t="s">
        <v>76</v>
      </c>
      <c r="Q56" s="9" t="s">
        <v>223</v>
      </c>
      <c r="R56" s="9" t="s">
        <v>77</v>
      </c>
      <c r="S56" s="9" t="s">
        <v>78</v>
      </c>
      <c r="V56" s="10"/>
      <c r="Y56" s="10"/>
      <c r="Z56" s="9" t="s">
        <v>79</v>
      </c>
      <c r="AB56" s="10">
        <v>19</v>
      </c>
      <c r="AC56" s="10">
        <v>2016</v>
      </c>
      <c r="AD56" s="10">
        <v>6</v>
      </c>
      <c r="AE56" s="10">
        <v>29</v>
      </c>
      <c r="AF56" s="9" t="s">
        <v>224</v>
      </c>
      <c r="AG56" s="9" t="s">
        <v>225</v>
      </c>
      <c r="AI56" s="9" t="s">
        <v>80</v>
      </c>
      <c r="AK56" s="9" t="s">
        <v>186</v>
      </c>
      <c r="AL56" s="9" t="s">
        <v>226</v>
      </c>
      <c r="AM56" s="9" t="s">
        <v>227</v>
      </c>
      <c r="AO56" s="9">
        <v>58</v>
      </c>
      <c r="AP56" s="10">
        <f t="shared" si="6"/>
        <v>17</v>
      </c>
      <c r="AQ56" s="10">
        <f t="shared" si="7"/>
        <v>29</v>
      </c>
      <c r="AR56" s="10">
        <f t="shared" si="8"/>
        <v>28.464000000004432</v>
      </c>
      <c r="AS56" s="10">
        <f t="shared" si="9"/>
        <v>-92</v>
      </c>
      <c r="AT56" s="10">
        <f t="shared" si="10"/>
        <v>1</v>
      </c>
      <c r="AU56" s="10">
        <f t="shared" si="11"/>
        <v>28.200000000011869</v>
      </c>
      <c r="AV56" s="10">
        <v>17.491240000000001</v>
      </c>
      <c r="AW56" s="10">
        <v>-92.024500000000003</v>
      </c>
      <c r="AX56" s="9" t="s">
        <v>84</v>
      </c>
      <c r="AY56" s="10">
        <v>2016</v>
      </c>
      <c r="BB56" s="9" t="s">
        <v>221</v>
      </c>
      <c r="BC56" s="9" t="s">
        <v>85</v>
      </c>
      <c r="BD56" s="9" t="s">
        <v>228</v>
      </c>
      <c r="BE56" s="12" t="s">
        <v>221</v>
      </c>
      <c r="BF56" s="12"/>
      <c r="BH56" s="9" t="s">
        <v>104</v>
      </c>
      <c r="BJ56" s="12"/>
    </row>
    <row r="57" spans="2:62" s="9" customFormat="1" x14ac:dyDescent="0.2">
      <c r="B57" s="10" t="s">
        <v>69</v>
      </c>
      <c r="E57" s="9" t="s">
        <v>229</v>
      </c>
      <c r="F57" s="9" t="s">
        <v>230</v>
      </c>
      <c r="G57" s="9" t="s">
        <v>72</v>
      </c>
      <c r="H57" s="9" t="s">
        <v>73</v>
      </c>
      <c r="I57" s="9" t="s">
        <v>72</v>
      </c>
      <c r="J57" s="9" t="s">
        <v>74</v>
      </c>
      <c r="K57" s="9" t="s">
        <v>75</v>
      </c>
      <c r="L57" s="10">
        <v>1</v>
      </c>
      <c r="M57" s="9" t="s">
        <v>76</v>
      </c>
      <c r="N57" s="9" t="s">
        <v>201</v>
      </c>
      <c r="Q57" s="9" t="s">
        <v>115</v>
      </c>
      <c r="R57" s="9" t="s">
        <v>77</v>
      </c>
      <c r="S57" s="9" t="s">
        <v>78</v>
      </c>
      <c r="V57" s="10"/>
      <c r="Y57" s="10"/>
      <c r="Z57" s="9" t="s">
        <v>79</v>
      </c>
      <c r="AB57" s="10" t="s">
        <v>231</v>
      </c>
      <c r="AC57" s="10">
        <v>2016</v>
      </c>
      <c r="AD57" s="10">
        <v>6</v>
      </c>
      <c r="AE57" s="10">
        <v>29</v>
      </c>
      <c r="AF57" s="9" t="s">
        <v>224</v>
      </c>
      <c r="AG57" s="9" t="s">
        <v>232</v>
      </c>
      <c r="AI57" s="9" t="s">
        <v>80</v>
      </c>
      <c r="AK57" s="9" t="s">
        <v>186</v>
      </c>
      <c r="AL57" s="9" t="s">
        <v>226</v>
      </c>
      <c r="AM57" s="9" t="s">
        <v>227</v>
      </c>
      <c r="AO57" s="9">
        <v>58</v>
      </c>
      <c r="AP57" s="10">
        <f t="shared" si="6"/>
        <v>17</v>
      </c>
      <c r="AQ57" s="10">
        <f t="shared" si="7"/>
        <v>29</v>
      </c>
      <c r="AR57" s="10">
        <f t="shared" si="8"/>
        <v>28.464000000004432</v>
      </c>
      <c r="AS57" s="10">
        <f t="shared" si="9"/>
        <v>-92</v>
      </c>
      <c r="AT57" s="10">
        <f t="shared" si="10"/>
        <v>1</v>
      </c>
      <c r="AU57" s="10">
        <f t="shared" si="11"/>
        <v>28.200000000011869</v>
      </c>
      <c r="AV57" s="10">
        <v>17.491240000000001</v>
      </c>
      <c r="AW57" s="10">
        <v>-92.024500000000003</v>
      </c>
      <c r="AX57" s="9" t="s">
        <v>84</v>
      </c>
      <c r="AY57" s="10">
        <v>2016</v>
      </c>
      <c r="BB57" s="9" t="s">
        <v>229</v>
      </c>
      <c r="BC57" s="9" t="s">
        <v>85</v>
      </c>
      <c r="BD57" s="11" t="s">
        <v>86</v>
      </c>
      <c r="BE57" s="12" t="s">
        <v>87</v>
      </c>
      <c r="BF57" s="12" t="s">
        <v>233</v>
      </c>
      <c r="BH57" s="9" t="s">
        <v>104</v>
      </c>
      <c r="BJ57" s="12"/>
    </row>
    <row r="58" spans="2:62" s="9" customFormat="1" x14ac:dyDescent="0.2">
      <c r="B58" s="10" t="s">
        <v>69</v>
      </c>
      <c r="E58" s="9" t="s">
        <v>234</v>
      </c>
      <c r="F58" s="9" t="s">
        <v>235</v>
      </c>
      <c r="G58" s="9" t="s">
        <v>72</v>
      </c>
      <c r="H58" s="9" t="s">
        <v>73</v>
      </c>
      <c r="I58" s="9" t="s">
        <v>72</v>
      </c>
      <c r="J58" s="9" t="s">
        <v>74</v>
      </c>
      <c r="K58" s="9" t="s">
        <v>75</v>
      </c>
      <c r="L58" s="10">
        <v>1</v>
      </c>
      <c r="M58" s="9" t="s">
        <v>76</v>
      </c>
      <c r="Q58" s="9" t="s">
        <v>115</v>
      </c>
      <c r="R58" s="9" t="s">
        <v>77</v>
      </c>
      <c r="S58" s="9" t="s">
        <v>78</v>
      </c>
      <c r="V58" s="10"/>
      <c r="Y58" s="10"/>
      <c r="Z58" s="9" t="s">
        <v>79</v>
      </c>
      <c r="AB58" s="10" t="s">
        <v>231</v>
      </c>
      <c r="AC58" s="10">
        <v>2016</v>
      </c>
      <c r="AD58" s="10">
        <v>6</v>
      </c>
      <c r="AE58" s="10">
        <v>29</v>
      </c>
      <c r="AF58" s="9" t="s">
        <v>224</v>
      </c>
      <c r="AG58" s="9" t="s">
        <v>232</v>
      </c>
      <c r="AI58" s="9" t="s">
        <v>80</v>
      </c>
      <c r="AK58" s="9" t="s">
        <v>186</v>
      </c>
      <c r="AL58" s="9" t="s">
        <v>226</v>
      </c>
      <c r="AM58" s="9" t="s">
        <v>227</v>
      </c>
      <c r="AO58" s="9">
        <v>58</v>
      </c>
      <c r="AP58" s="10">
        <f t="shared" si="6"/>
        <v>17</v>
      </c>
      <c r="AQ58" s="10">
        <f t="shared" si="7"/>
        <v>29</v>
      </c>
      <c r="AR58" s="10">
        <f t="shared" si="8"/>
        <v>28.464000000004432</v>
      </c>
      <c r="AS58" s="10">
        <f t="shared" si="9"/>
        <v>-92</v>
      </c>
      <c r="AT58" s="10">
        <f t="shared" si="10"/>
        <v>1</v>
      </c>
      <c r="AU58" s="10">
        <f t="shared" si="11"/>
        <v>28.200000000011869</v>
      </c>
      <c r="AV58" s="10">
        <v>17.491240000000001</v>
      </c>
      <c r="AW58" s="10">
        <v>-92.024500000000003</v>
      </c>
      <c r="AX58" s="9" t="s">
        <v>84</v>
      </c>
      <c r="AY58" s="10">
        <v>2016</v>
      </c>
      <c r="BB58" s="9" t="s">
        <v>234</v>
      </c>
      <c r="BC58" s="9" t="s">
        <v>85</v>
      </c>
      <c r="BD58" s="11" t="s">
        <v>86</v>
      </c>
      <c r="BE58" s="12" t="s">
        <v>87</v>
      </c>
      <c r="BF58" s="12" t="s">
        <v>236</v>
      </c>
      <c r="BH58" s="9" t="s">
        <v>104</v>
      </c>
      <c r="BJ58" s="12"/>
    </row>
    <row r="59" spans="2:62" s="9" customFormat="1" x14ac:dyDescent="0.2">
      <c r="B59" s="10" t="s">
        <v>69</v>
      </c>
      <c r="E59" s="9" t="s">
        <v>237</v>
      </c>
      <c r="F59" s="9" t="s">
        <v>238</v>
      </c>
      <c r="G59" s="9" t="s">
        <v>72</v>
      </c>
      <c r="H59" s="9" t="s">
        <v>73</v>
      </c>
      <c r="I59" s="9" t="s">
        <v>72</v>
      </c>
      <c r="J59" s="9" t="s">
        <v>74</v>
      </c>
      <c r="K59" s="9" t="s">
        <v>75</v>
      </c>
      <c r="L59" s="10">
        <v>1</v>
      </c>
      <c r="M59" s="9" t="s">
        <v>76</v>
      </c>
      <c r="Q59" s="9" t="s">
        <v>115</v>
      </c>
      <c r="R59" s="9" t="s">
        <v>77</v>
      </c>
      <c r="S59" s="9" t="s">
        <v>78</v>
      </c>
      <c r="V59" s="10"/>
      <c r="Y59" s="10"/>
      <c r="Z59" s="9" t="s">
        <v>79</v>
      </c>
      <c r="AB59" s="10" t="s">
        <v>231</v>
      </c>
      <c r="AC59" s="10">
        <v>2016</v>
      </c>
      <c r="AD59" s="10">
        <v>6</v>
      </c>
      <c r="AE59" s="10">
        <v>29</v>
      </c>
      <c r="AF59" s="9" t="s">
        <v>224</v>
      </c>
      <c r="AG59" s="9" t="s">
        <v>232</v>
      </c>
      <c r="AI59" s="9" t="s">
        <v>80</v>
      </c>
      <c r="AK59" s="9" t="s">
        <v>186</v>
      </c>
      <c r="AL59" s="9" t="s">
        <v>226</v>
      </c>
      <c r="AM59" s="9" t="s">
        <v>227</v>
      </c>
      <c r="AO59" s="9">
        <v>58</v>
      </c>
      <c r="AP59" s="10">
        <f t="shared" si="6"/>
        <v>17</v>
      </c>
      <c r="AQ59" s="10">
        <f t="shared" si="7"/>
        <v>29</v>
      </c>
      <c r="AR59" s="10">
        <f t="shared" si="8"/>
        <v>28.464000000004432</v>
      </c>
      <c r="AS59" s="10">
        <f t="shared" si="9"/>
        <v>-92</v>
      </c>
      <c r="AT59" s="10">
        <f t="shared" si="10"/>
        <v>1</v>
      </c>
      <c r="AU59" s="10">
        <f t="shared" si="11"/>
        <v>28.200000000011869</v>
      </c>
      <c r="AV59" s="10">
        <v>17.491240000000001</v>
      </c>
      <c r="AW59" s="10">
        <v>-92.024500000000003</v>
      </c>
      <c r="AX59" s="9" t="s">
        <v>84</v>
      </c>
      <c r="AY59" s="10">
        <v>2016</v>
      </c>
      <c r="BB59" s="9" t="s">
        <v>237</v>
      </c>
      <c r="BC59" s="9" t="s">
        <v>85</v>
      </c>
      <c r="BD59" s="11" t="s">
        <v>86</v>
      </c>
      <c r="BE59" s="12" t="s">
        <v>87</v>
      </c>
      <c r="BF59" s="12" t="s">
        <v>239</v>
      </c>
      <c r="BH59" s="9" t="s">
        <v>104</v>
      </c>
      <c r="BJ59" s="12"/>
    </row>
    <row r="60" spans="2:62" s="9" customFormat="1" x14ac:dyDescent="0.2">
      <c r="B60" s="10" t="s">
        <v>69</v>
      </c>
      <c r="E60" s="9" t="s">
        <v>237</v>
      </c>
      <c r="F60" s="9" t="s">
        <v>240</v>
      </c>
      <c r="G60" s="9" t="s">
        <v>72</v>
      </c>
      <c r="H60" s="9" t="s">
        <v>73</v>
      </c>
      <c r="I60" s="9" t="s">
        <v>72</v>
      </c>
      <c r="J60" s="9" t="s">
        <v>74</v>
      </c>
      <c r="K60" s="9" t="s">
        <v>75</v>
      </c>
      <c r="L60" s="10">
        <v>1</v>
      </c>
      <c r="M60" s="9" t="s">
        <v>76</v>
      </c>
      <c r="Q60" s="9" t="s">
        <v>115</v>
      </c>
      <c r="R60" s="9" t="s">
        <v>77</v>
      </c>
      <c r="S60" s="9" t="s">
        <v>78</v>
      </c>
      <c r="V60" s="10"/>
      <c r="Y60" s="10"/>
      <c r="Z60" s="9" t="s">
        <v>79</v>
      </c>
      <c r="AB60" s="10" t="s">
        <v>231</v>
      </c>
      <c r="AC60" s="10">
        <v>2016</v>
      </c>
      <c r="AD60" s="10">
        <v>6</v>
      </c>
      <c r="AE60" s="10">
        <v>29</v>
      </c>
      <c r="AF60" s="9" t="s">
        <v>224</v>
      </c>
      <c r="AG60" s="9" t="s">
        <v>232</v>
      </c>
      <c r="AI60" s="9" t="s">
        <v>80</v>
      </c>
      <c r="AK60" s="9" t="s">
        <v>186</v>
      </c>
      <c r="AL60" s="9" t="s">
        <v>226</v>
      </c>
      <c r="AM60" s="9" t="s">
        <v>227</v>
      </c>
      <c r="AO60" s="9">
        <v>58</v>
      </c>
      <c r="AP60" s="10">
        <f t="shared" si="6"/>
        <v>17</v>
      </c>
      <c r="AQ60" s="10">
        <f t="shared" si="7"/>
        <v>29</v>
      </c>
      <c r="AR60" s="10">
        <f t="shared" si="8"/>
        <v>28.464000000004432</v>
      </c>
      <c r="AS60" s="10">
        <f t="shared" si="9"/>
        <v>-92</v>
      </c>
      <c r="AT60" s="10">
        <f t="shared" si="10"/>
        <v>1</v>
      </c>
      <c r="AU60" s="10">
        <f t="shared" si="11"/>
        <v>28.200000000011869</v>
      </c>
      <c r="AV60" s="10">
        <v>17.491240000000001</v>
      </c>
      <c r="AW60" s="10">
        <v>-92.024500000000003</v>
      </c>
      <c r="AX60" s="9" t="s">
        <v>84</v>
      </c>
      <c r="AY60" s="10">
        <v>2016</v>
      </c>
      <c r="BB60" s="9" t="s">
        <v>237</v>
      </c>
      <c r="BC60" s="9" t="s">
        <v>85</v>
      </c>
      <c r="BD60" s="11" t="s">
        <v>86</v>
      </c>
      <c r="BE60" s="12" t="s">
        <v>87</v>
      </c>
      <c r="BF60" s="12" t="s">
        <v>239</v>
      </c>
      <c r="BH60" s="9" t="s">
        <v>104</v>
      </c>
      <c r="BJ60" s="12"/>
    </row>
    <row r="61" spans="2:62" s="9" customFormat="1" x14ac:dyDescent="0.2">
      <c r="B61" s="10" t="s">
        <v>69</v>
      </c>
      <c r="E61" s="9" t="s">
        <v>241</v>
      </c>
      <c r="F61" s="9" t="s">
        <v>242</v>
      </c>
      <c r="G61" s="9" t="s">
        <v>72</v>
      </c>
      <c r="H61" s="9" t="s">
        <v>73</v>
      </c>
      <c r="I61" s="9" t="s">
        <v>72</v>
      </c>
      <c r="J61" s="9" t="s">
        <v>74</v>
      </c>
      <c r="K61" s="9" t="s">
        <v>75</v>
      </c>
      <c r="L61" s="10">
        <v>1</v>
      </c>
      <c r="M61" s="9" t="s">
        <v>76</v>
      </c>
      <c r="Q61" s="9" t="s">
        <v>223</v>
      </c>
      <c r="R61" s="9" t="s">
        <v>77</v>
      </c>
      <c r="S61" s="9" t="s">
        <v>78</v>
      </c>
      <c r="V61" s="10"/>
      <c r="Y61" s="10"/>
      <c r="Z61" s="9" t="s">
        <v>79</v>
      </c>
      <c r="AB61" s="10" t="s">
        <v>243</v>
      </c>
      <c r="AC61" s="10">
        <v>2016</v>
      </c>
      <c r="AD61" s="10">
        <v>7</v>
      </c>
      <c r="AE61" s="10">
        <v>2</v>
      </c>
      <c r="AF61" s="9" t="s">
        <v>244</v>
      </c>
      <c r="AI61" s="9" t="s">
        <v>80</v>
      </c>
      <c r="AK61" s="9" t="s">
        <v>98</v>
      </c>
      <c r="AL61" s="9" t="s">
        <v>245</v>
      </c>
      <c r="AM61" s="9" t="s">
        <v>246</v>
      </c>
      <c r="AO61" s="9">
        <v>2360</v>
      </c>
      <c r="AP61" s="10">
        <f t="shared" si="6"/>
        <v>19</v>
      </c>
      <c r="AQ61" s="10">
        <f t="shared" si="7"/>
        <v>7</v>
      </c>
      <c r="AR61" s="10">
        <f t="shared" si="8"/>
        <v>13.332000000004314</v>
      </c>
      <c r="AS61" s="10">
        <f t="shared" si="9"/>
        <v>98</v>
      </c>
      <c r="AT61" s="10">
        <f t="shared" si="10"/>
        <v>22</v>
      </c>
      <c r="AU61" s="10">
        <f t="shared" si="11"/>
        <v>38.712000000002718</v>
      </c>
      <c r="AV61" s="10">
        <v>19.120370000000001</v>
      </c>
      <c r="AW61" s="10">
        <v>97.622579999999999</v>
      </c>
      <c r="AX61" s="9" t="s">
        <v>84</v>
      </c>
      <c r="AY61" s="10">
        <v>2016</v>
      </c>
      <c r="BB61" s="9" t="s">
        <v>241</v>
      </c>
      <c r="BC61" s="9" t="s">
        <v>85</v>
      </c>
      <c r="BD61" s="9" t="s">
        <v>101</v>
      </c>
      <c r="BE61" s="12" t="s">
        <v>149</v>
      </c>
      <c r="BF61" s="12" t="s">
        <v>247</v>
      </c>
      <c r="BH61" s="9" t="s">
        <v>104</v>
      </c>
      <c r="BJ61" s="12"/>
    </row>
    <row r="62" spans="2:62" s="9" customFormat="1" x14ac:dyDescent="0.2">
      <c r="B62" s="10" t="s">
        <v>69</v>
      </c>
      <c r="E62" s="9" t="s">
        <v>241</v>
      </c>
      <c r="F62" s="9" t="s">
        <v>248</v>
      </c>
      <c r="G62" s="9" t="s">
        <v>72</v>
      </c>
      <c r="H62" s="9" t="s">
        <v>73</v>
      </c>
      <c r="I62" s="9" t="s">
        <v>72</v>
      </c>
      <c r="J62" s="9" t="s">
        <v>74</v>
      </c>
      <c r="K62" s="9" t="s">
        <v>75</v>
      </c>
      <c r="L62" s="10">
        <v>1</v>
      </c>
      <c r="M62" s="9" t="s">
        <v>76</v>
      </c>
      <c r="Q62" s="9" t="s">
        <v>223</v>
      </c>
      <c r="R62" s="9" t="s">
        <v>77</v>
      </c>
      <c r="S62" s="9" t="s">
        <v>78</v>
      </c>
      <c r="V62" s="10"/>
      <c r="Y62" s="10"/>
      <c r="Z62" s="9" t="s">
        <v>79</v>
      </c>
      <c r="AB62" s="10" t="s">
        <v>243</v>
      </c>
      <c r="AC62" s="10">
        <v>2016</v>
      </c>
      <c r="AD62" s="10">
        <v>7</v>
      </c>
      <c r="AE62" s="10">
        <v>2</v>
      </c>
      <c r="AF62" s="9" t="s">
        <v>244</v>
      </c>
      <c r="AI62" s="9" t="s">
        <v>80</v>
      </c>
      <c r="AK62" s="9" t="s">
        <v>98</v>
      </c>
      <c r="AL62" s="9" t="s">
        <v>245</v>
      </c>
      <c r="AM62" s="9" t="s">
        <v>246</v>
      </c>
      <c r="AO62" s="9">
        <v>2360</v>
      </c>
      <c r="AP62" s="10">
        <f t="shared" si="6"/>
        <v>19</v>
      </c>
      <c r="AQ62" s="10">
        <f t="shared" si="7"/>
        <v>7</v>
      </c>
      <c r="AR62" s="10">
        <f t="shared" si="8"/>
        <v>13.332000000004314</v>
      </c>
      <c r="AS62" s="10">
        <f t="shared" si="9"/>
        <v>98</v>
      </c>
      <c r="AT62" s="10">
        <f t="shared" si="10"/>
        <v>22</v>
      </c>
      <c r="AU62" s="10">
        <f t="shared" si="11"/>
        <v>38.712000000002718</v>
      </c>
      <c r="AV62" s="10">
        <v>19.120370000000001</v>
      </c>
      <c r="AW62" s="10">
        <v>97.622579999999999</v>
      </c>
      <c r="AX62" s="9" t="s">
        <v>84</v>
      </c>
      <c r="AY62" s="10">
        <v>2016</v>
      </c>
      <c r="BB62" s="9" t="s">
        <v>241</v>
      </c>
      <c r="BC62" s="9" t="s">
        <v>85</v>
      </c>
      <c r="BD62" s="9" t="s">
        <v>101</v>
      </c>
      <c r="BE62" s="12" t="s">
        <v>149</v>
      </c>
      <c r="BF62" s="12" t="s">
        <v>247</v>
      </c>
      <c r="BH62" s="9" t="s">
        <v>104</v>
      </c>
      <c r="BJ62" s="12"/>
    </row>
    <row r="63" spans="2:62" s="9" customFormat="1" x14ac:dyDescent="0.2">
      <c r="B63" s="10" t="s">
        <v>69</v>
      </c>
      <c r="E63" s="9" t="s">
        <v>249</v>
      </c>
      <c r="F63" s="9" t="s">
        <v>250</v>
      </c>
      <c r="G63" s="9" t="s">
        <v>72</v>
      </c>
      <c r="H63" s="9" t="s">
        <v>73</v>
      </c>
      <c r="I63" s="9" t="s">
        <v>72</v>
      </c>
      <c r="J63" s="9" t="s">
        <v>74</v>
      </c>
      <c r="K63" s="9" t="s">
        <v>75</v>
      </c>
      <c r="L63" s="10">
        <v>1</v>
      </c>
      <c r="M63" s="9" t="s">
        <v>76</v>
      </c>
      <c r="R63" s="9" t="s">
        <v>77</v>
      </c>
      <c r="S63" s="9" t="s">
        <v>78</v>
      </c>
      <c r="V63" s="10"/>
      <c r="Y63" s="10"/>
      <c r="Z63" s="9" t="s">
        <v>79</v>
      </c>
      <c r="AB63" s="10" t="s">
        <v>243</v>
      </c>
      <c r="AC63" s="10">
        <v>2016</v>
      </c>
      <c r="AD63" s="10">
        <v>7</v>
      </c>
      <c r="AE63" s="10">
        <v>2</v>
      </c>
      <c r="AF63" s="9" t="s">
        <v>244</v>
      </c>
      <c r="AI63" s="9" t="s">
        <v>80</v>
      </c>
      <c r="AK63" s="9" t="s">
        <v>98</v>
      </c>
      <c r="AL63" s="9" t="s">
        <v>245</v>
      </c>
      <c r="AM63" s="9" t="s">
        <v>246</v>
      </c>
      <c r="AO63" s="9">
        <v>2360</v>
      </c>
      <c r="AP63" s="10">
        <f t="shared" si="6"/>
        <v>19</v>
      </c>
      <c r="AQ63" s="10">
        <f t="shared" si="7"/>
        <v>7</v>
      </c>
      <c r="AR63" s="10">
        <f t="shared" si="8"/>
        <v>13.332000000004314</v>
      </c>
      <c r="AS63" s="10">
        <f t="shared" si="9"/>
        <v>98</v>
      </c>
      <c r="AT63" s="10">
        <f t="shared" si="10"/>
        <v>22</v>
      </c>
      <c r="AU63" s="10">
        <f t="shared" si="11"/>
        <v>38.712000000002718</v>
      </c>
      <c r="AV63" s="10">
        <v>19.120370000000001</v>
      </c>
      <c r="AW63" s="10">
        <v>97.622579999999999</v>
      </c>
      <c r="AX63" s="9" t="s">
        <v>84</v>
      </c>
      <c r="AY63" s="10">
        <v>2016</v>
      </c>
      <c r="AZ63" s="9" t="s">
        <v>251</v>
      </c>
      <c r="BB63" s="9" t="s">
        <v>249</v>
      </c>
      <c r="BC63" s="9" t="s">
        <v>85</v>
      </c>
      <c r="BD63" s="9" t="s">
        <v>252</v>
      </c>
      <c r="BE63" s="12" t="s">
        <v>253</v>
      </c>
      <c r="BF63" s="12" t="s">
        <v>254</v>
      </c>
      <c r="BH63" s="9" t="s">
        <v>104</v>
      </c>
      <c r="BJ63" s="12"/>
    </row>
    <row r="64" spans="2:62" s="9" customFormat="1" x14ac:dyDescent="0.2">
      <c r="B64" s="10" t="s">
        <v>69</v>
      </c>
      <c r="E64" s="9" t="s">
        <v>249</v>
      </c>
      <c r="F64" s="9" t="s">
        <v>255</v>
      </c>
      <c r="G64" s="9" t="s">
        <v>72</v>
      </c>
      <c r="H64" s="9" t="s">
        <v>73</v>
      </c>
      <c r="I64" s="9" t="s">
        <v>72</v>
      </c>
      <c r="J64" s="9" t="s">
        <v>74</v>
      </c>
      <c r="K64" s="9" t="s">
        <v>75</v>
      </c>
      <c r="L64" s="10">
        <v>1</v>
      </c>
      <c r="M64" s="9" t="s">
        <v>76</v>
      </c>
      <c r="R64" s="9" t="s">
        <v>77</v>
      </c>
      <c r="S64" s="9" t="s">
        <v>78</v>
      </c>
      <c r="V64" s="10"/>
      <c r="Y64" s="10"/>
      <c r="Z64" s="9" t="s">
        <v>79</v>
      </c>
      <c r="AB64" s="10" t="s">
        <v>243</v>
      </c>
      <c r="AC64" s="10">
        <v>2016</v>
      </c>
      <c r="AD64" s="10">
        <v>7</v>
      </c>
      <c r="AE64" s="10">
        <v>2</v>
      </c>
      <c r="AF64" s="9" t="s">
        <v>244</v>
      </c>
      <c r="AI64" s="9" t="s">
        <v>80</v>
      </c>
      <c r="AK64" s="9" t="s">
        <v>98</v>
      </c>
      <c r="AL64" s="9" t="s">
        <v>245</v>
      </c>
      <c r="AM64" s="9" t="s">
        <v>246</v>
      </c>
      <c r="AO64" s="9">
        <v>2360</v>
      </c>
      <c r="AP64" s="10">
        <f t="shared" si="6"/>
        <v>19</v>
      </c>
      <c r="AQ64" s="10">
        <f t="shared" si="7"/>
        <v>7</v>
      </c>
      <c r="AR64" s="10">
        <f t="shared" si="8"/>
        <v>13.332000000004314</v>
      </c>
      <c r="AS64" s="10">
        <f t="shared" si="9"/>
        <v>98</v>
      </c>
      <c r="AT64" s="10">
        <f t="shared" si="10"/>
        <v>22</v>
      </c>
      <c r="AU64" s="10">
        <f t="shared" si="11"/>
        <v>38.712000000002718</v>
      </c>
      <c r="AV64" s="10">
        <v>19.120370000000001</v>
      </c>
      <c r="AW64" s="10">
        <v>97.622579999999999</v>
      </c>
      <c r="AX64" s="9" t="s">
        <v>84</v>
      </c>
      <c r="AY64" s="10">
        <v>2016</v>
      </c>
      <c r="BB64" s="9" t="s">
        <v>249</v>
      </c>
      <c r="BC64" s="9" t="s">
        <v>85</v>
      </c>
      <c r="BD64" s="9" t="s">
        <v>252</v>
      </c>
      <c r="BE64" s="12" t="s">
        <v>253</v>
      </c>
      <c r="BF64" s="12" t="s">
        <v>254</v>
      </c>
      <c r="BH64" s="9" t="s">
        <v>104</v>
      </c>
      <c r="BJ64" s="12"/>
    </row>
    <row r="65" spans="2:62" s="9" customFormat="1" x14ac:dyDescent="0.2">
      <c r="B65" s="10" t="s">
        <v>69</v>
      </c>
      <c r="E65" s="9" t="s">
        <v>256</v>
      </c>
      <c r="F65" s="9" t="s">
        <v>257</v>
      </c>
      <c r="G65" s="9" t="s">
        <v>72</v>
      </c>
      <c r="H65" s="9" t="s">
        <v>73</v>
      </c>
      <c r="I65" s="9" t="s">
        <v>72</v>
      </c>
      <c r="J65" s="9" t="s">
        <v>74</v>
      </c>
      <c r="K65" s="9" t="s">
        <v>75</v>
      </c>
      <c r="L65" s="10">
        <v>1</v>
      </c>
      <c r="M65" s="9" t="s">
        <v>76</v>
      </c>
      <c r="Q65" s="9" t="s">
        <v>223</v>
      </c>
      <c r="R65" s="9" t="s">
        <v>77</v>
      </c>
      <c r="S65" s="9" t="s">
        <v>78</v>
      </c>
      <c r="V65" s="10"/>
      <c r="Y65" s="10"/>
      <c r="Z65" s="9" t="s">
        <v>79</v>
      </c>
      <c r="AB65" s="10" t="s">
        <v>243</v>
      </c>
      <c r="AC65" s="10">
        <v>2016</v>
      </c>
      <c r="AD65" s="10">
        <v>7</v>
      </c>
      <c r="AE65" s="10">
        <v>2</v>
      </c>
      <c r="AF65" s="9" t="s">
        <v>244</v>
      </c>
      <c r="AI65" s="9" t="s">
        <v>80</v>
      </c>
      <c r="AK65" s="9" t="s">
        <v>98</v>
      </c>
      <c r="AL65" s="9" t="s">
        <v>245</v>
      </c>
      <c r="AM65" s="9" t="s">
        <v>246</v>
      </c>
      <c r="AO65" s="9">
        <v>2360</v>
      </c>
      <c r="AP65" s="10">
        <f t="shared" si="6"/>
        <v>19</v>
      </c>
      <c r="AQ65" s="10">
        <f t="shared" si="7"/>
        <v>7</v>
      </c>
      <c r="AR65" s="10">
        <f t="shared" si="8"/>
        <v>13.332000000004314</v>
      </c>
      <c r="AS65" s="10">
        <f t="shared" si="9"/>
        <v>98</v>
      </c>
      <c r="AT65" s="10">
        <f t="shared" si="10"/>
        <v>22</v>
      </c>
      <c r="AU65" s="10">
        <f t="shared" si="11"/>
        <v>38.712000000002718</v>
      </c>
      <c r="AV65" s="10">
        <v>19.120370000000001</v>
      </c>
      <c r="AW65" s="10">
        <v>97.622579999999999</v>
      </c>
      <c r="AX65" s="9" t="s">
        <v>72</v>
      </c>
      <c r="AY65" s="10">
        <v>2016</v>
      </c>
      <c r="AZ65" s="9" t="s">
        <v>251</v>
      </c>
      <c r="BB65" s="9" t="s">
        <v>256</v>
      </c>
      <c r="BC65" s="9" t="s">
        <v>85</v>
      </c>
      <c r="BD65" s="9" t="s">
        <v>101</v>
      </c>
      <c r="BE65" s="12" t="s">
        <v>149</v>
      </c>
      <c r="BF65" s="12" t="s">
        <v>258</v>
      </c>
      <c r="BH65" s="9" t="s">
        <v>104</v>
      </c>
      <c r="BJ65" s="12"/>
    </row>
    <row r="66" spans="2:62" s="9" customFormat="1" x14ac:dyDescent="0.2">
      <c r="B66" s="10" t="s">
        <v>69</v>
      </c>
      <c r="E66" s="9" t="s">
        <v>241</v>
      </c>
      <c r="F66" s="9" t="s">
        <v>259</v>
      </c>
      <c r="G66" s="9" t="s">
        <v>72</v>
      </c>
      <c r="H66" s="9" t="s">
        <v>73</v>
      </c>
      <c r="I66" s="9" t="s">
        <v>72</v>
      </c>
      <c r="J66" s="9" t="s">
        <v>74</v>
      </c>
      <c r="K66" s="9" t="s">
        <v>75</v>
      </c>
      <c r="L66" s="10">
        <v>1</v>
      </c>
      <c r="M66" s="9" t="s">
        <v>76</v>
      </c>
      <c r="N66" s="9" t="s">
        <v>201</v>
      </c>
      <c r="Q66" s="9" t="s">
        <v>223</v>
      </c>
      <c r="R66" s="9" t="s">
        <v>77</v>
      </c>
      <c r="S66" s="9" t="s">
        <v>78</v>
      </c>
      <c r="V66" s="10"/>
      <c r="Y66" s="10"/>
      <c r="Z66" s="9" t="s">
        <v>79</v>
      </c>
      <c r="AB66" s="10" t="s">
        <v>243</v>
      </c>
      <c r="AC66" s="10">
        <v>2016</v>
      </c>
      <c r="AD66" s="10">
        <v>7</v>
      </c>
      <c r="AE66" s="10">
        <v>3</v>
      </c>
      <c r="AF66" s="9" t="s">
        <v>260</v>
      </c>
      <c r="AI66" s="9" t="s">
        <v>80</v>
      </c>
      <c r="AK66" s="9" t="s">
        <v>98</v>
      </c>
      <c r="AM66" s="9" t="s">
        <v>261</v>
      </c>
      <c r="AO66" s="9">
        <v>2009</v>
      </c>
      <c r="AP66" s="10">
        <f t="shared" si="6"/>
        <v>18</v>
      </c>
      <c r="AQ66" s="10">
        <f t="shared" si="7"/>
        <v>51</v>
      </c>
      <c r="AR66" s="10">
        <f t="shared" si="8"/>
        <v>35.063999999995019</v>
      </c>
      <c r="AS66" s="10">
        <f t="shared" si="9"/>
        <v>-97</v>
      </c>
      <c r="AT66" s="10">
        <f t="shared" si="10"/>
        <v>42</v>
      </c>
      <c r="AU66" s="10">
        <f t="shared" si="11"/>
        <v>36.647999999978538</v>
      </c>
      <c r="AV66" s="10">
        <v>18.859739999999999</v>
      </c>
      <c r="AW66" s="10">
        <v>-97.710179999999994</v>
      </c>
      <c r="AX66" s="9" t="s">
        <v>84</v>
      </c>
      <c r="AY66" s="10">
        <v>2016</v>
      </c>
      <c r="BB66" s="9" t="s">
        <v>241</v>
      </c>
      <c r="BC66" s="9" t="s">
        <v>85</v>
      </c>
      <c r="BD66" s="9" t="s">
        <v>101</v>
      </c>
      <c r="BE66" s="12" t="s">
        <v>149</v>
      </c>
      <c r="BF66" s="12" t="s">
        <v>247</v>
      </c>
      <c r="BH66" s="9" t="s">
        <v>104</v>
      </c>
      <c r="BJ66" s="12"/>
    </row>
    <row r="67" spans="2:62" s="9" customFormat="1" x14ac:dyDescent="0.2">
      <c r="B67" s="10" t="s">
        <v>69</v>
      </c>
      <c r="E67" s="9" t="s">
        <v>262</v>
      </c>
      <c r="F67" s="9" t="s">
        <v>263</v>
      </c>
      <c r="G67" s="9" t="s">
        <v>72</v>
      </c>
      <c r="H67" s="9" t="s">
        <v>73</v>
      </c>
      <c r="I67" s="9" t="s">
        <v>72</v>
      </c>
      <c r="J67" s="9" t="s">
        <v>74</v>
      </c>
      <c r="K67" s="9" t="s">
        <v>75</v>
      </c>
      <c r="L67" s="10">
        <v>1</v>
      </c>
      <c r="M67" s="9" t="s">
        <v>76</v>
      </c>
      <c r="R67" s="9" t="s">
        <v>77</v>
      </c>
      <c r="S67" s="9" t="s">
        <v>78</v>
      </c>
      <c r="V67" s="10"/>
      <c r="Y67" s="10"/>
      <c r="Z67" s="9" t="s">
        <v>79</v>
      </c>
      <c r="AB67" s="10" t="s">
        <v>243</v>
      </c>
      <c r="AC67" s="10">
        <v>2016</v>
      </c>
      <c r="AD67" s="10">
        <v>7</v>
      </c>
      <c r="AE67" s="10">
        <v>3</v>
      </c>
      <c r="AF67" s="9" t="s">
        <v>260</v>
      </c>
      <c r="AI67" s="9" t="s">
        <v>80</v>
      </c>
      <c r="AK67" s="9" t="s">
        <v>98</v>
      </c>
      <c r="AM67" s="9" t="s">
        <v>261</v>
      </c>
      <c r="AO67" s="9">
        <v>2009</v>
      </c>
      <c r="AP67" s="10">
        <f t="shared" si="6"/>
        <v>18</v>
      </c>
      <c r="AQ67" s="10">
        <f t="shared" si="7"/>
        <v>51</v>
      </c>
      <c r="AR67" s="10">
        <f t="shared" si="8"/>
        <v>35.063999999995019</v>
      </c>
      <c r="AS67" s="10">
        <f t="shared" si="9"/>
        <v>-97</v>
      </c>
      <c r="AT67" s="10">
        <f t="shared" si="10"/>
        <v>42</v>
      </c>
      <c r="AU67" s="10">
        <f t="shared" si="11"/>
        <v>36.647999999978538</v>
      </c>
      <c r="AV67" s="10">
        <v>18.859739999999999</v>
      </c>
      <c r="AW67" s="10">
        <v>-97.710179999999994</v>
      </c>
      <c r="AX67" s="9" t="s">
        <v>84</v>
      </c>
      <c r="AY67" s="10">
        <v>2016</v>
      </c>
      <c r="BB67" s="9" t="s">
        <v>262</v>
      </c>
      <c r="BC67" s="9" t="s">
        <v>85</v>
      </c>
      <c r="BD67" s="9" t="s">
        <v>252</v>
      </c>
      <c r="BE67" s="12" t="s">
        <v>262</v>
      </c>
      <c r="BF67" s="12"/>
      <c r="BH67" s="9" t="s">
        <v>89</v>
      </c>
      <c r="BJ67" s="12"/>
    </row>
    <row r="68" spans="2:62" s="9" customFormat="1" x14ac:dyDescent="0.2">
      <c r="B68" s="10" t="s">
        <v>69</v>
      </c>
      <c r="E68" s="9" t="s">
        <v>256</v>
      </c>
      <c r="F68" s="9" t="s">
        <v>264</v>
      </c>
      <c r="G68" s="9" t="s">
        <v>72</v>
      </c>
      <c r="H68" s="9" t="s">
        <v>73</v>
      </c>
      <c r="I68" s="9" t="s">
        <v>72</v>
      </c>
      <c r="J68" s="9" t="s">
        <v>74</v>
      </c>
      <c r="K68" s="9" t="s">
        <v>75</v>
      </c>
      <c r="L68" s="10">
        <v>1</v>
      </c>
      <c r="M68" s="9" t="s">
        <v>76</v>
      </c>
      <c r="N68" s="9" t="s">
        <v>113</v>
      </c>
      <c r="Q68" s="9" t="s">
        <v>223</v>
      </c>
      <c r="R68" s="9" t="s">
        <v>77</v>
      </c>
      <c r="S68" s="9" t="s">
        <v>78</v>
      </c>
      <c r="V68" s="10"/>
      <c r="Y68" s="10"/>
      <c r="Z68" s="9" t="s">
        <v>79</v>
      </c>
      <c r="AB68" s="10" t="s">
        <v>243</v>
      </c>
      <c r="AC68" s="10">
        <v>2016</v>
      </c>
      <c r="AD68" s="10">
        <v>7</v>
      </c>
      <c r="AE68" s="10">
        <v>3</v>
      </c>
      <c r="AF68" s="9" t="s">
        <v>260</v>
      </c>
      <c r="AG68" s="9" t="s">
        <v>265</v>
      </c>
      <c r="AI68" s="9" t="s">
        <v>80</v>
      </c>
      <c r="AK68" s="9" t="s">
        <v>98</v>
      </c>
      <c r="AM68" s="9" t="s">
        <v>261</v>
      </c>
      <c r="AO68" s="9">
        <v>2009</v>
      </c>
      <c r="AP68" s="10">
        <f t="shared" si="6"/>
        <v>18</v>
      </c>
      <c r="AQ68" s="10">
        <f t="shared" si="7"/>
        <v>51</v>
      </c>
      <c r="AR68" s="10">
        <f t="shared" si="8"/>
        <v>35.063999999995019</v>
      </c>
      <c r="AS68" s="10">
        <f t="shared" si="9"/>
        <v>-97</v>
      </c>
      <c r="AT68" s="10">
        <f t="shared" si="10"/>
        <v>42</v>
      </c>
      <c r="AU68" s="10">
        <f t="shared" si="11"/>
        <v>36.647999999978538</v>
      </c>
      <c r="AV68" s="10">
        <v>18.859739999999999</v>
      </c>
      <c r="AW68" s="10">
        <v>-97.710179999999994</v>
      </c>
      <c r="AX68" s="9" t="s">
        <v>72</v>
      </c>
      <c r="AY68" s="10">
        <v>2016</v>
      </c>
      <c r="AZ68" s="9" t="s">
        <v>251</v>
      </c>
      <c r="BB68" s="9" t="s">
        <v>256</v>
      </c>
      <c r="BC68" s="9" t="s">
        <v>85</v>
      </c>
      <c r="BD68" s="9" t="s">
        <v>101</v>
      </c>
      <c r="BE68" s="12" t="s">
        <v>149</v>
      </c>
      <c r="BF68" s="12" t="s">
        <v>258</v>
      </c>
      <c r="BH68" s="9" t="s">
        <v>104</v>
      </c>
      <c r="BJ68" s="12"/>
    </row>
    <row r="69" spans="2:62" s="24" customFormat="1" x14ac:dyDescent="0.2">
      <c r="B69" s="25" t="s">
        <v>69</v>
      </c>
      <c r="E69" s="24" t="s">
        <v>105</v>
      </c>
      <c r="F69" s="24" t="s">
        <v>266</v>
      </c>
      <c r="G69" s="24" t="s">
        <v>72</v>
      </c>
      <c r="H69" s="24" t="s">
        <v>73</v>
      </c>
      <c r="I69" s="24" t="s">
        <v>72</v>
      </c>
      <c r="J69" s="24" t="s">
        <v>74</v>
      </c>
      <c r="K69" s="24" t="s">
        <v>75</v>
      </c>
      <c r="L69" s="25">
        <v>1</v>
      </c>
      <c r="M69" s="24" t="s">
        <v>76</v>
      </c>
      <c r="Q69" s="24" t="s">
        <v>124</v>
      </c>
      <c r="R69" s="24" t="s">
        <v>77</v>
      </c>
      <c r="S69" s="24" t="s">
        <v>78</v>
      </c>
      <c r="V69" s="25"/>
      <c r="Y69" s="25"/>
      <c r="Z69" s="24" t="s">
        <v>79</v>
      </c>
      <c r="AB69" s="25" t="s">
        <v>210</v>
      </c>
      <c r="AC69" s="25">
        <v>2016</v>
      </c>
      <c r="AD69" s="25">
        <v>7</v>
      </c>
      <c r="AE69" s="25">
        <v>3</v>
      </c>
      <c r="AF69" s="24" t="s">
        <v>260</v>
      </c>
      <c r="AG69" s="24" t="s">
        <v>97</v>
      </c>
      <c r="AI69" s="24" t="s">
        <v>80</v>
      </c>
      <c r="AK69" s="24" t="s">
        <v>98</v>
      </c>
      <c r="AM69" s="24" t="s">
        <v>267</v>
      </c>
      <c r="AO69" s="24">
        <v>2060</v>
      </c>
      <c r="AP69" s="25">
        <f t="shared" si="6"/>
        <v>18</v>
      </c>
      <c r="AQ69" s="25">
        <f t="shared" si="7"/>
        <v>45</v>
      </c>
      <c r="AR69" s="25">
        <f t="shared" si="8"/>
        <v>53.928000000004772</v>
      </c>
      <c r="AS69" s="25">
        <f t="shared" si="9"/>
        <v>-97</v>
      </c>
      <c r="AT69" s="25">
        <f t="shared" si="10"/>
        <v>42</v>
      </c>
      <c r="AU69" s="25">
        <f t="shared" si="11"/>
        <v>36.647999999978538</v>
      </c>
      <c r="AV69" s="25">
        <v>18.764980000000001</v>
      </c>
      <c r="AW69" s="25">
        <v>-97.710179999999994</v>
      </c>
      <c r="AX69" s="24" t="s">
        <v>72</v>
      </c>
      <c r="AY69" s="25">
        <v>2016</v>
      </c>
      <c r="AZ69" s="24" t="s">
        <v>251</v>
      </c>
      <c r="BB69" s="24" t="s">
        <v>105</v>
      </c>
      <c r="BC69" s="24" t="s">
        <v>85</v>
      </c>
      <c r="BD69" s="27" t="s">
        <v>109</v>
      </c>
      <c r="BE69" s="28" t="s">
        <v>110</v>
      </c>
      <c r="BF69" s="29" t="s">
        <v>111</v>
      </c>
      <c r="BH69" s="24" t="s">
        <v>104</v>
      </c>
      <c r="BJ69" s="29" t="s">
        <v>111</v>
      </c>
    </row>
    <row r="70" spans="2:62" s="24" customFormat="1" x14ac:dyDescent="0.2">
      <c r="B70" s="25" t="s">
        <v>69</v>
      </c>
      <c r="E70" s="24" t="s">
        <v>105</v>
      </c>
      <c r="F70" s="24" t="s">
        <v>268</v>
      </c>
      <c r="G70" s="24" t="s">
        <v>72</v>
      </c>
      <c r="H70" s="24" t="s">
        <v>73</v>
      </c>
      <c r="I70" s="24" t="s">
        <v>72</v>
      </c>
      <c r="J70" s="24" t="s">
        <v>74</v>
      </c>
      <c r="K70" s="24" t="s">
        <v>75</v>
      </c>
      <c r="L70" s="25">
        <v>1</v>
      </c>
      <c r="M70" s="24" t="s">
        <v>76</v>
      </c>
      <c r="Q70" s="24" t="s">
        <v>124</v>
      </c>
      <c r="R70" s="24" t="s">
        <v>77</v>
      </c>
      <c r="S70" s="24" t="s">
        <v>78</v>
      </c>
      <c r="V70" s="25"/>
      <c r="Y70" s="25"/>
      <c r="Z70" s="24" t="s">
        <v>79</v>
      </c>
      <c r="AB70" s="25" t="s">
        <v>210</v>
      </c>
      <c r="AC70" s="25">
        <v>2016</v>
      </c>
      <c r="AD70" s="25">
        <v>7</v>
      </c>
      <c r="AE70" s="25">
        <v>3</v>
      </c>
      <c r="AF70" s="24" t="s">
        <v>260</v>
      </c>
      <c r="AG70" s="24" t="s">
        <v>97</v>
      </c>
      <c r="AI70" s="24" t="s">
        <v>80</v>
      </c>
      <c r="AK70" s="24" t="s">
        <v>98</v>
      </c>
      <c r="AM70" s="24" t="s">
        <v>267</v>
      </c>
      <c r="AO70" s="24">
        <v>2060</v>
      </c>
      <c r="AP70" s="25">
        <f t="shared" si="6"/>
        <v>18</v>
      </c>
      <c r="AQ70" s="25">
        <f t="shared" si="7"/>
        <v>45</v>
      </c>
      <c r="AR70" s="25">
        <f t="shared" si="8"/>
        <v>53.928000000004772</v>
      </c>
      <c r="AS70" s="25">
        <f t="shared" si="9"/>
        <v>-97</v>
      </c>
      <c r="AT70" s="25">
        <f t="shared" si="10"/>
        <v>42</v>
      </c>
      <c r="AU70" s="25">
        <f t="shared" si="11"/>
        <v>36.647999999978538</v>
      </c>
      <c r="AV70" s="25">
        <v>18.764980000000001</v>
      </c>
      <c r="AW70" s="25">
        <v>-97.710179999999994</v>
      </c>
      <c r="AX70" s="24" t="s">
        <v>72</v>
      </c>
      <c r="AY70" s="25">
        <v>2016</v>
      </c>
      <c r="AZ70" s="24" t="s">
        <v>251</v>
      </c>
      <c r="BB70" s="24" t="s">
        <v>105</v>
      </c>
      <c r="BC70" s="24" t="s">
        <v>85</v>
      </c>
      <c r="BD70" s="27" t="s">
        <v>109</v>
      </c>
      <c r="BE70" s="28" t="s">
        <v>110</v>
      </c>
      <c r="BF70" s="29" t="s">
        <v>111</v>
      </c>
      <c r="BH70" s="24" t="s">
        <v>104</v>
      </c>
      <c r="BJ70" s="29" t="s">
        <v>111</v>
      </c>
    </row>
    <row r="71" spans="2:62" s="34" customFormat="1" x14ac:dyDescent="0.2">
      <c r="B71" s="35" t="s">
        <v>69</v>
      </c>
      <c r="E71" s="34" t="s">
        <v>105</v>
      </c>
      <c r="F71" s="34" t="s">
        <v>269</v>
      </c>
      <c r="G71" s="34" t="s">
        <v>72</v>
      </c>
      <c r="H71" s="34" t="s">
        <v>73</v>
      </c>
      <c r="I71" s="34" t="s">
        <v>72</v>
      </c>
      <c r="J71" s="34" t="s">
        <v>74</v>
      </c>
      <c r="K71" s="34" t="s">
        <v>75</v>
      </c>
      <c r="L71" s="35">
        <v>1</v>
      </c>
      <c r="M71" s="34" t="s">
        <v>76</v>
      </c>
      <c r="Q71" s="34" t="s">
        <v>124</v>
      </c>
      <c r="R71" s="34" t="s">
        <v>77</v>
      </c>
      <c r="S71" s="34" t="s">
        <v>78</v>
      </c>
      <c r="V71" s="35"/>
      <c r="Y71" s="35"/>
      <c r="Z71" s="34" t="s">
        <v>79</v>
      </c>
      <c r="AB71" s="35" t="s">
        <v>210</v>
      </c>
      <c r="AC71" s="35">
        <v>2016</v>
      </c>
      <c r="AD71" s="35">
        <v>7</v>
      </c>
      <c r="AE71" s="35">
        <v>3</v>
      </c>
      <c r="AF71" s="34" t="s">
        <v>260</v>
      </c>
      <c r="AG71" s="34" t="s">
        <v>97</v>
      </c>
      <c r="AI71" s="34" t="s">
        <v>80</v>
      </c>
      <c r="AK71" s="34" t="s">
        <v>98</v>
      </c>
      <c r="AM71" s="34" t="s">
        <v>267</v>
      </c>
      <c r="AO71" s="34">
        <v>2060</v>
      </c>
      <c r="AP71" s="35">
        <f t="shared" si="6"/>
        <v>18</v>
      </c>
      <c r="AQ71" s="35">
        <f t="shared" si="7"/>
        <v>45</v>
      </c>
      <c r="AR71" s="35">
        <f t="shared" si="8"/>
        <v>53.928000000004772</v>
      </c>
      <c r="AS71" s="35">
        <f t="shared" si="9"/>
        <v>-97</v>
      </c>
      <c r="AT71" s="35">
        <f t="shared" si="10"/>
        <v>42</v>
      </c>
      <c r="AU71" s="35">
        <f t="shared" si="11"/>
        <v>36.647999999978538</v>
      </c>
      <c r="AV71" s="35">
        <v>18.764980000000001</v>
      </c>
      <c r="AW71" s="35">
        <v>-97.710179999999994</v>
      </c>
      <c r="AX71" s="34" t="s">
        <v>72</v>
      </c>
      <c r="AY71" s="35">
        <v>2016</v>
      </c>
      <c r="AZ71" s="34" t="s">
        <v>251</v>
      </c>
      <c r="BB71" s="34" t="s">
        <v>105</v>
      </c>
      <c r="BC71" s="34" t="s">
        <v>85</v>
      </c>
      <c r="BD71" s="37" t="s">
        <v>109</v>
      </c>
      <c r="BE71" s="38" t="s">
        <v>110</v>
      </c>
      <c r="BF71" s="39" t="s">
        <v>111</v>
      </c>
      <c r="BH71" s="34" t="s">
        <v>104</v>
      </c>
      <c r="BJ71" s="39" t="s">
        <v>111</v>
      </c>
    </row>
    <row r="72" spans="2:62" s="9" customFormat="1" x14ac:dyDescent="0.2">
      <c r="B72" s="10" t="s">
        <v>69</v>
      </c>
      <c r="E72" s="9" t="s">
        <v>241</v>
      </c>
      <c r="F72" s="9" t="s">
        <v>270</v>
      </c>
      <c r="G72" s="9" t="s">
        <v>72</v>
      </c>
      <c r="H72" s="9" t="s">
        <v>73</v>
      </c>
      <c r="I72" s="9" t="s">
        <v>72</v>
      </c>
      <c r="J72" s="9" t="s">
        <v>74</v>
      </c>
      <c r="K72" s="9" t="s">
        <v>75</v>
      </c>
      <c r="L72" s="10">
        <v>1</v>
      </c>
      <c r="M72" s="9" t="s">
        <v>76</v>
      </c>
      <c r="N72" s="9" t="s">
        <v>113</v>
      </c>
      <c r="R72" s="9" t="s">
        <v>77</v>
      </c>
      <c r="S72" s="9" t="s">
        <v>78</v>
      </c>
      <c r="V72" s="10"/>
      <c r="Y72" s="10"/>
      <c r="Z72" s="9" t="s">
        <v>79</v>
      </c>
      <c r="AB72" s="10" t="s">
        <v>210</v>
      </c>
      <c r="AC72" s="10">
        <v>2016</v>
      </c>
      <c r="AD72" s="10">
        <v>7</v>
      </c>
      <c r="AE72" s="10">
        <v>3</v>
      </c>
      <c r="AF72" s="9" t="s">
        <v>260</v>
      </c>
      <c r="AI72" s="9" t="s">
        <v>80</v>
      </c>
      <c r="AK72" s="9" t="s">
        <v>98</v>
      </c>
      <c r="AM72" s="9" t="s">
        <v>267</v>
      </c>
      <c r="AO72" s="9">
        <v>2060</v>
      </c>
      <c r="AP72" s="10">
        <f t="shared" si="6"/>
        <v>18</v>
      </c>
      <c r="AQ72" s="10">
        <f t="shared" si="7"/>
        <v>45</v>
      </c>
      <c r="AR72" s="10">
        <f t="shared" si="8"/>
        <v>53.928000000004772</v>
      </c>
      <c r="AS72" s="10">
        <f t="shared" si="9"/>
        <v>-97</v>
      </c>
      <c r="AT72" s="10">
        <f t="shared" si="10"/>
        <v>42</v>
      </c>
      <c r="AU72" s="10">
        <f t="shared" si="11"/>
        <v>36.647999999978538</v>
      </c>
      <c r="AV72" s="10">
        <v>18.764980000000001</v>
      </c>
      <c r="AW72" s="10">
        <v>-97.710179999999994</v>
      </c>
      <c r="AX72" s="9" t="s">
        <v>72</v>
      </c>
      <c r="AY72" s="10">
        <v>2016</v>
      </c>
      <c r="BB72" s="9" t="s">
        <v>241</v>
      </c>
      <c r="BC72" s="9" t="s">
        <v>85</v>
      </c>
      <c r="BD72" s="9" t="s">
        <v>101</v>
      </c>
      <c r="BE72" s="12" t="s">
        <v>149</v>
      </c>
      <c r="BF72" s="12" t="s">
        <v>247</v>
      </c>
      <c r="BH72" s="9" t="s">
        <v>104</v>
      </c>
      <c r="BJ72" s="12"/>
    </row>
    <row r="73" spans="2:62" s="9" customFormat="1" x14ac:dyDescent="0.2">
      <c r="B73" s="10" t="s">
        <v>69</v>
      </c>
      <c r="E73" s="9" t="s">
        <v>271</v>
      </c>
      <c r="F73" s="9" t="s">
        <v>272</v>
      </c>
      <c r="G73" s="9" t="s">
        <v>72</v>
      </c>
      <c r="H73" s="9" t="s">
        <v>73</v>
      </c>
      <c r="I73" s="9" t="s">
        <v>72</v>
      </c>
      <c r="J73" s="9" t="s">
        <v>74</v>
      </c>
      <c r="K73" s="9" t="s">
        <v>75</v>
      </c>
      <c r="L73" s="10">
        <v>1</v>
      </c>
      <c r="M73" s="9" t="s">
        <v>76</v>
      </c>
      <c r="R73" s="9" t="s">
        <v>77</v>
      </c>
      <c r="S73" s="9" t="s">
        <v>78</v>
      </c>
      <c r="V73" s="10"/>
      <c r="Y73" s="10"/>
      <c r="Z73" s="9" t="s">
        <v>79</v>
      </c>
      <c r="AB73" s="10" t="s">
        <v>273</v>
      </c>
      <c r="AC73" s="10">
        <v>2016</v>
      </c>
      <c r="AD73" s="10">
        <v>7</v>
      </c>
      <c r="AE73" s="10">
        <v>3</v>
      </c>
      <c r="AF73" s="9" t="s">
        <v>274</v>
      </c>
      <c r="AI73" s="9" t="s">
        <v>80</v>
      </c>
      <c r="AK73" s="9" t="s">
        <v>98</v>
      </c>
      <c r="AM73" s="9" t="s">
        <v>275</v>
      </c>
      <c r="AO73" s="9">
        <v>2007</v>
      </c>
      <c r="AP73" s="10">
        <f t="shared" si="6"/>
        <v>18</v>
      </c>
      <c r="AQ73" s="10">
        <f t="shared" si="7"/>
        <v>40</v>
      </c>
      <c r="AR73" s="10">
        <f t="shared" si="8"/>
        <v>27.876000000006229</v>
      </c>
      <c r="AS73" s="10">
        <f t="shared" si="9"/>
        <v>-97</v>
      </c>
      <c r="AT73" s="10">
        <f t="shared" si="10"/>
        <v>35</v>
      </c>
      <c r="AU73" s="10">
        <f t="shared" si="11"/>
        <v>27.384000000012065</v>
      </c>
      <c r="AV73" s="10">
        <v>18.674410000000002</v>
      </c>
      <c r="AW73" s="10">
        <v>-97.590940000000003</v>
      </c>
      <c r="AX73" s="9" t="s">
        <v>84</v>
      </c>
      <c r="AY73" s="10">
        <v>2016</v>
      </c>
      <c r="BB73" s="9" t="s">
        <v>271</v>
      </c>
      <c r="BC73" s="9" t="s">
        <v>85</v>
      </c>
      <c r="BD73" s="9" t="s">
        <v>252</v>
      </c>
      <c r="BE73" s="12" t="s">
        <v>276</v>
      </c>
      <c r="BF73" s="12" t="s">
        <v>277</v>
      </c>
      <c r="BH73" s="9" t="s">
        <v>104</v>
      </c>
      <c r="BJ73" s="12"/>
    </row>
    <row r="74" spans="2:62" s="9" customFormat="1" x14ac:dyDescent="0.2">
      <c r="B74" s="10" t="s">
        <v>69</v>
      </c>
      <c r="E74" s="9" t="s">
        <v>278</v>
      </c>
      <c r="F74" s="9" t="s">
        <v>279</v>
      </c>
      <c r="G74" s="9" t="s">
        <v>72</v>
      </c>
      <c r="H74" s="9" t="s">
        <v>73</v>
      </c>
      <c r="I74" s="9" t="s">
        <v>72</v>
      </c>
      <c r="J74" s="9" t="s">
        <v>74</v>
      </c>
      <c r="K74" s="9" t="s">
        <v>75</v>
      </c>
      <c r="L74" s="10">
        <v>1</v>
      </c>
      <c r="M74" s="9" t="s">
        <v>280</v>
      </c>
      <c r="R74" s="9" t="s">
        <v>77</v>
      </c>
      <c r="S74" s="9" t="s">
        <v>78</v>
      </c>
      <c r="V74" s="10"/>
      <c r="Y74" s="10"/>
      <c r="Z74" s="9" t="s">
        <v>79</v>
      </c>
      <c r="AB74" s="10" t="s">
        <v>273</v>
      </c>
      <c r="AC74" s="10">
        <v>2016</v>
      </c>
      <c r="AD74" s="10">
        <v>7</v>
      </c>
      <c r="AE74" s="10">
        <v>3</v>
      </c>
      <c r="AF74" s="9" t="s">
        <v>274</v>
      </c>
      <c r="AI74" s="9" t="s">
        <v>80</v>
      </c>
      <c r="AK74" s="9" t="s">
        <v>98</v>
      </c>
      <c r="AM74" s="9" t="s">
        <v>275</v>
      </c>
      <c r="AO74" s="9">
        <v>2007</v>
      </c>
      <c r="AP74" s="10">
        <f t="shared" si="6"/>
        <v>18</v>
      </c>
      <c r="AQ74" s="10">
        <f t="shared" si="7"/>
        <v>40</v>
      </c>
      <c r="AR74" s="10">
        <f t="shared" si="8"/>
        <v>27.876000000006229</v>
      </c>
      <c r="AS74" s="10">
        <f t="shared" si="9"/>
        <v>-97</v>
      </c>
      <c r="AT74" s="10">
        <f t="shared" si="10"/>
        <v>35</v>
      </c>
      <c r="AU74" s="10">
        <f t="shared" si="11"/>
        <v>27.384000000012065</v>
      </c>
      <c r="AV74" s="10">
        <v>18.674410000000002</v>
      </c>
      <c r="AW74" s="10">
        <v>-97.590940000000003</v>
      </c>
      <c r="AX74" s="9" t="s">
        <v>84</v>
      </c>
      <c r="AY74" s="10">
        <v>2016</v>
      </c>
      <c r="BB74" s="9" t="s">
        <v>278</v>
      </c>
      <c r="BC74" s="9" t="s">
        <v>85</v>
      </c>
      <c r="BD74" s="9" t="s">
        <v>252</v>
      </c>
      <c r="BE74" s="12" t="s">
        <v>281</v>
      </c>
      <c r="BF74" s="12" t="s">
        <v>282</v>
      </c>
      <c r="BH74" s="9" t="s">
        <v>104</v>
      </c>
      <c r="BJ74" s="12"/>
    </row>
    <row r="75" spans="2:62" s="24" customFormat="1" x14ac:dyDescent="0.2">
      <c r="B75" s="25" t="s">
        <v>69</v>
      </c>
      <c r="E75" s="24" t="s">
        <v>105</v>
      </c>
      <c r="F75" s="24" t="s">
        <v>283</v>
      </c>
      <c r="G75" s="24" t="s">
        <v>72</v>
      </c>
      <c r="H75" s="24" t="s">
        <v>73</v>
      </c>
      <c r="I75" s="24" t="s">
        <v>72</v>
      </c>
      <c r="J75" s="24" t="s">
        <v>74</v>
      </c>
      <c r="K75" s="24" t="s">
        <v>75</v>
      </c>
      <c r="L75" s="25">
        <v>1</v>
      </c>
      <c r="M75" s="24" t="s">
        <v>76</v>
      </c>
      <c r="Q75" s="24" t="s">
        <v>124</v>
      </c>
      <c r="R75" s="24" t="s">
        <v>77</v>
      </c>
      <c r="S75" s="24" t="s">
        <v>78</v>
      </c>
      <c r="V75" s="25"/>
      <c r="Y75" s="25"/>
      <c r="Z75" s="24" t="s">
        <v>79</v>
      </c>
      <c r="AB75" s="25" t="s">
        <v>284</v>
      </c>
      <c r="AC75" s="25">
        <v>2016</v>
      </c>
      <c r="AD75" s="25">
        <v>7</v>
      </c>
      <c r="AE75" s="25">
        <v>4</v>
      </c>
      <c r="AF75" s="24" t="s">
        <v>285</v>
      </c>
      <c r="AG75" s="24" t="s">
        <v>97</v>
      </c>
      <c r="AI75" s="24" t="s">
        <v>80</v>
      </c>
      <c r="AK75" s="24" t="s">
        <v>98</v>
      </c>
      <c r="AM75" s="24" t="s">
        <v>286</v>
      </c>
      <c r="AO75" s="24">
        <v>1964</v>
      </c>
      <c r="AP75" s="25">
        <f t="shared" si="6"/>
        <v>18</v>
      </c>
      <c r="AQ75" s="25">
        <f t="shared" si="7"/>
        <v>36</v>
      </c>
      <c r="AR75" s="25">
        <f t="shared" si="8"/>
        <v>57.671999999996046</v>
      </c>
      <c r="AS75" s="25">
        <f t="shared" si="9"/>
        <v>-97</v>
      </c>
      <c r="AT75" s="25">
        <f t="shared" si="10"/>
        <v>32</v>
      </c>
      <c r="AU75" s="25">
        <f t="shared" si="11"/>
        <v>29.363999999985708</v>
      </c>
      <c r="AV75" s="25">
        <v>18.616019999999999</v>
      </c>
      <c r="AW75" s="25">
        <v>-97.541489999999996</v>
      </c>
      <c r="AX75" s="24" t="s">
        <v>72</v>
      </c>
      <c r="AY75" s="25">
        <v>2016</v>
      </c>
      <c r="AZ75" s="24" t="s">
        <v>251</v>
      </c>
      <c r="BB75" s="24" t="s">
        <v>105</v>
      </c>
      <c r="BC75" s="24" t="s">
        <v>85</v>
      </c>
      <c r="BD75" s="27" t="s">
        <v>109</v>
      </c>
      <c r="BE75" s="28" t="s">
        <v>110</v>
      </c>
      <c r="BF75" s="29" t="s">
        <v>111</v>
      </c>
      <c r="BH75" s="24" t="s">
        <v>104</v>
      </c>
      <c r="BJ75" s="29" t="s">
        <v>111</v>
      </c>
    </row>
    <row r="76" spans="2:62" s="24" customFormat="1" x14ac:dyDescent="0.2">
      <c r="B76" s="25" t="s">
        <v>69</v>
      </c>
      <c r="E76" s="24" t="s">
        <v>105</v>
      </c>
      <c r="F76" s="24" t="s">
        <v>287</v>
      </c>
      <c r="G76" s="24" t="s">
        <v>72</v>
      </c>
      <c r="H76" s="24" t="s">
        <v>73</v>
      </c>
      <c r="I76" s="24" t="s">
        <v>72</v>
      </c>
      <c r="J76" s="24" t="s">
        <v>74</v>
      </c>
      <c r="K76" s="24" t="s">
        <v>75</v>
      </c>
      <c r="L76" s="25">
        <v>1</v>
      </c>
      <c r="M76" s="24" t="s">
        <v>76</v>
      </c>
      <c r="Q76" s="24" t="s">
        <v>124</v>
      </c>
      <c r="R76" s="24" t="s">
        <v>77</v>
      </c>
      <c r="S76" s="24" t="s">
        <v>78</v>
      </c>
      <c r="V76" s="25"/>
      <c r="Y76" s="25"/>
      <c r="Z76" s="24" t="s">
        <v>79</v>
      </c>
      <c r="AB76" s="25" t="s">
        <v>284</v>
      </c>
      <c r="AC76" s="25">
        <v>2016</v>
      </c>
      <c r="AD76" s="25">
        <v>7</v>
      </c>
      <c r="AE76" s="25">
        <v>4</v>
      </c>
      <c r="AF76" s="24" t="s">
        <v>285</v>
      </c>
      <c r="AG76" s="24" t="s">
        <v>97</v>
      </c>
      <c r="AI76" s="24" t="s">
        <v>80</v>
      </c>
      <c r="AK76" s="24" t="s">
        <v>98</v>
      </c>
      <c r="AM76" s="24" t="s">
        <v>286</v>
      </c>
      <c r="AO76" s="24">
        <v>1964</v>
      </c>
      <c r="AP76" s="25">
        <f t="shared" si="6"/>
        <v>18</v>
      </c>
      <c r="AQ76" s="25">
        <f t="shared" si="7"/>
        <v>36</v>
      </c>
      <c r="AR76" s="25">
        <f t="shared" si="8"/>
        <v>57.671999999996046</v>
      </c>
      <c r="AS76" s="25">
        <f t="shared" si="9"/>
        <v>-97</v>
      </c>
      <c r="AT76" s="25">
        <f t="shared" si="10"/>
        <v>32</v>
      </c>
      <c r="AU76" s="25">
        <f t="shared" si="11"/>
        <v>29.363999999985708</v>
      </c>
      <c r="AV76" s="25">
        <v>18.616019999999999</v>
      </c>
      <c r="AW76" s="25">
        <v>-97.541489999999996</v>
      </c>
      <c r="AX76" s="24" t="s">
        <v>72</v>
      </c>
      <c r="AY76" s="25">
        <v>2016</v>
      </c>
      <c r="AZ76" s="24" t="s">
        <v>251</v>
      </c>
      <c r="BB76" s="24" t="s">
        <v>105</v>
      </c>
      <c r="BC76" s="24" t="s">
        <v>85</v>
      </c>
      <c r="BD76" s="27" t="s">
        <v>109</v>
      </c>
      <c r="BE76" s="28" t="s">
        <v>110</v>
      </c>
      <c r="BF76" s="29" t="s">
        <v>111</v>
      </c>
      <c r="BH76" s="24" t="s">
        <v>104</v>
      </c>
      <c r="BJ76" s="29" t="s">
        <v>111</v>
      </c>
    </row>
    <row r="77" spans="2:62" s="24" customFormat="1" x14ac:dyDescent="0.2">
      <c r="B77" s="25" t="s">
        <v>69</v>
      </c>
      <c r="E77" s="24" t="s">
        <v>288</v>
      </c>
      <c r="F77" s="24" t="s">
        <v>289</v>
      </c>
      <c r="G77" s="24" t="s">
        <v>72</v>
      </c>
      <c r="H77" s="24" t="s">
        <v>73</v>
      </c>
      <c r="I77" s="24" t="s">
        <v>72</v>
      </c>
      <c r="J77" s="24" t="s">
        <v>74</v>
      </c>
      <c r="K77" s="24" t="s">
        <v>75</v>
      </c>
      <c r="L77" s="25">
        <v>1</v>
      </c>
      <c r="M77" s="24" t="s">
        <v>76</v>
      </c>
      <c r="Q77" s="24" t="s">
        <v>124</v>
      </c>
      <c r="R77" s="24" t="s">
        <v>77</v>
      </c>
      <c r="S77" s="24" t="s">
        <v>78</v>
      </c>
      <c r="V77" s="25"/>
      <c r="Y77" s="25"/>
      <c r="Z77" s="24" t="s">
        <v>79</v>
      </c>
      <c r="AB77" s="25" t="s">
        <v>284</v>
      </c>
      <c r="AC77" s="25">
        <v>2016</v>
      </c>
      <c r="AD77" s="25">
        <v>7</v>
      </c>
      <c r="AE77" s="25">
        <v>4</v>
      </c>
      <c r="AF77" s="24" t="s">
        <v>285</v>
      </c>
      <c r="AG77" s="24" t="s">
        <v>97</v>
      </c>
      <c r="AI77" s="24" t="s">
        <v>80</v>
      </c>
      <c r="AK77" s="24" t="s">
        <v>98</v>
      </c>
      <c r="AM77" s="24" t="s">
        <v>286</v>
      </c>
      <c r="AN77" s="24">
        <v>82</v>
      </c>
      <c r="AO77" s="24">
        <v>1964</v>
      </c>
      <c r="AP77" s="25">
        <f t="shared" si="6"/>
        <v>18</v>
      </c>
      <c r="AQ77" s="25">
        <f t="shared" si="7"/>
        <v>36</v>
      </c>
      <c r="AR77" s="25">
        <f t="shared" si="8"/>
        <v>57.671999999996046</v>
      </c>
      <c r="AS77" s="25">
        <f t="shared" si="9"/>
        <v>-97</v>
      </c>
      <c r="AT77" s="25">
        <f t="shared" si="10"/>
        <v>32</v>
      </c>
      <c r="AU77" s="25">
        <f t="shared" si="11"/>
        <v>29.363999999985708</v>
      </c>
      <c r="AV77" s="25">
        <v>18.616019999999999</v>
      </c>
      <c r="AW77" s="25">
        <v>-97.541489999999996</v>
      </c>
      <c r="AX77" s="24" t="s">
        <v>72</v>
      </c>
      <c r="AY77" s="25">
        <v>2016</v>
      </c>
      <c r="AZ77" s="24" t="s">
        <v>251</v>
      </c>
      <c r="BB77" s="24" t="s">
        <v>288</v>
      </c>
      <c r="BC77" s="24" t="s">
        <v>85</v>
      </c>
      <c r="BD77" s="27" t="s">
        <v>109</v>
      </c>
      <c r="BE77" s="28" t="s">
        <v>110</v>
      </c>
      <c r="BF77" s="30" t="s">
        <v>290</v>
      </c>
      <c r="BH77" s="24" t="s">
        <v>104</v>
      </c>
      <c r="BJ77" s="30" t="s">
        <v>290</v>
      </c>
    </row>
    <row r="78" spans="2:62" s="9" customFormat="1" x14ac:dyDescent="0.2">
      <c r="B78" s="10" t="s">
        <v>69</v>
      </c>
      <c r="E78" s="9" t="s">
        <v>149</v>
      </c>
      <c r="F78" s="9" t="s">
        <v>291</v>
      </c>
      <c r="G78" s="9" t="s">
        <v>72</v>
      </c>
      <c r="H78" s="9" t="s">
        <v>73</v>
      </c>
      <c r="I78" s="9" t="s">
        <v>72</v>
      </c>
      <c r="J78" s="9" t="s">
        <v>74</v>
      </c>
      <c r="K78" s="9" t="s">
        <v>75</v>
      </c>
      <c r="L78" s="10">
        <v>1</v>
      </c>
      <c r="M78" s="9" t="s">
        <v>76</v>
      </c>
      <c r="R78" s="9" t="s">
        <v>77</v>
      </c>
      <c r="S78" s="9" t="s">
        <v>78</v>
      </c>
      <c r="V78" s="10"/>
      <c r="Y78" s="10"/>
      <c r="Z78" s="9" t="s">
        <v>79</v>
      </c>
      <c r="AB78" s="10" t="s">
        <v>284</v>
      </c>
      <c r="AC78" s="10">
        <v>2016</v>
      </c>
      <c r="AD78" s="10">
        <v>7</v>
      </c>
      <c r="AE78" s="10">
        <v>4</v>
      </c>
      <c r="AF78" s="9" t="s">
        <v>285</v>
      </c>
      <c r="AG78" s="9" t="s">
        <v>97</v>
      </c>
      <c r="AI78" s="9" t="s">
        <v>80</v>
      </c>
      <c r="AK78" s="9" t="s">
        <v>98</v>
      </c>
      <c r="AM78" s="9" t="s">
        <v>286</v>
      </c>
      <c r="AO78" s="9">
        <v>1964</v>
      </c>
      <c r="AP78" s="10">
        <f t="shared" si="6"/>
        <v>18</v>
      </c>
      <c r="AQ78" s="10">
        <f t="shared" si="7"/>
        <v>36</v>
      </c>
      <c r="AR78" s="10">
        <f t="shared" si="8"/>
        <v>57.671999999996046</v>
      </c>
      <c r="AS78" s="10">
        <f t="shared" si="9"/>
        <v>-97</v>
      </c>
      <c r="AT78" s="10">
        <f t="shared" si="10"/>
        <v>32</v>
      </c>
      <c r="AU78" s="10">
        <f t="shared" si="11"/>
        <v>29.363999999985708</v>
      </c>
      <c r="AV78" s="10">
        <v>18.616019999999999</v>
      </c>
      <c r="AW78" s="10">
        <v>-97.541489999999996</v>
      </c>
      <c r="AX78" s="9" t="s">
        <v>72</v>
      </c>
      <c r="AY78" s="10">
        <v>2016</v>
      </c>
      <c r="AZ78" s="9" t="s">
        <v>292</v>
      </c>
      <c r="BB78" s="9" t="s">
        <v>149</v>
      </c>
      <c r="BC78" s="9" t="s">
        <v>85</v>
      </c>
      <c r="BD78" s="9" t="s">
        <v>101</v>
      </c>
      <c r="BE78" s="12" t="s">
        <v>149</v>
      </c>
      <c r="BF78" s="12"/>
      <c r="BH78" s="9" t="s">
        <v>104</v>
      </c>
      <c r="BJ78" s="12"/>
    </row>
    <row r="79" spans="2:62" s="9" customFormat="1" x14ac:dyDescent="0.2">
      <c r="B79" s="10" t="s">
        <v>69</v>
      </c>
      <c r="E79" s="9" t="s">
        <v>149</v>
      </c>
      <c r="F79" s="9" t="s">
        <v>293</v>
      </c>
      <c r="G79" s="9" t="s">
        <v>72</v>
      </c>
      <c r="H79" s="9" t="s">
        <v>73</v>
      </c>
      <c r="I79" s="9" t="s">
        <v>72</v>
      </c>
      <c r="J79" s="9" t="s">
        <v>74</v>
      </c>
      <c r="K79" s="9" t="s">
        <v>75</v>
      </c>
      <c r="L79" s="10">
        <v>1</v>
      </c>
      <c r="M79" s="9" t="s">
        <v>76</v>
      </c>
      <c r="R79" s="9" t="s">
        <v>77</v>
      </c>
      <c r="S79" s="9" t="s">
        <v>78</v>
      </c>
      <c r="V79" s="10"/>
      <c r="Y79" s="10"/>
      <c r="Z79" s="9" t="s">
        <v>79</v>
      </c>
      <c r="AB79" s="10" t="s">
        <v>284</v>
      </c>
      <c r="AC79" s="10">
        <v>2016</v>
      </c>
      <c r="AD79" s="10">
        <v>7</v>
      </c>
      <c r="AE79" s="10">
        <v>4</v>
      </c>
      <c r="AF79" s="9" t="s">
        <v>285</v>
      </c>
      <c r="AG79" s="9" t="s">
        <v>97</v>
      </c>
      <c r="AI79" s="9" t="s">
        <v>80</v>
      </c>
      <c r="AK79" s="9" t="s">
        <v>98</v>
      </c>
      <c r="AM79" s="9" t="s">
        <v>286</v>
      </c>
      <c r="AO79" s="9">
        <v>1964</v>
      </c>
      <c r="AP79" s="10">
        <f t="shared" si="6"/>
        <v>18</v>
      </c>
      <c r="AQ79" s="10">
        <f t="shared" si="7"/>
        <v>36</v>
      </c>
      <c r="AR79" s="10">
        <f t="shared" si="8"/>
        <v>57.671999999996046</v>
      </c>
      <c r="AS79" s="10">
        <f t="shared" si="9"/>
        <v>-97</v>
      </c>
      <c r="AT79" s="10">
        <f t="shared" si="10"/>
        <v>32</v>
      </c>
      <c r="AU79" s="10">
        <f t="shared" si="11"/>
        <v>29.363999999985708</v>
      </c>
      <c r="AV79" s="10">
        <v>18.616019999999999</v>
      </c>
      <c r="AW79" s="10">
        <v>-97.541489999999996</v>
      </c>
      <c r="AX79" s="9" t="s">
        <v>72</v>
      </c>
      <c r="AY79" s="10">
        <v>2016</v>
      </c>
      <c r="AZ79" s="9" t="s">
        <v>292</v>
      </c>
      <c r="BB79" s="9" t="s">
        <v>149</v>
      </c>
      <c r="BC79" s="9" t="s">
        <v>85</v>
      </c>
      <c r="BD79" s="9" t="s">
        <v>101</v>
      </c>
      <c r="BE79" s="12" t="s">
        <v>149</v>
      </c>
      <c r="BF79" s="12"/>
      <c r="BH79" s="9" t="s">
        <v>104</v>
      </c>
      <c r="BJ79" s="12"/>
    </row>
    <row r="82" spans="2:62" s="9" customFormat="1" x14ac:dyDescent="0.2">
      <c r="B82" s="10"/>
      <c r="E82" s="19" t="s">
        <v>294</v>
      </c>
      <c r="F82" s="9" t="s">
        <v>295</v>
      </c>
      <c r="G82" s="9" t="s">
        <v>72</v>
      </c>
      <c r="I82" s="9" t="s">
        <v>296</v>
      </c>
      <c r="J82" s="9" t="s">
        <v>74</v>
      </c>
      <c r="K82" s="9" t="s">
        <v>297</v>
      </c>
      <c r="L82" s="10">
        <v>1</v>
      </c>
      <c r="M82" s="9" t="s">
        <v>76</v>
      </c>
      <c r="N82" s="9" t="s">
        <v>201</v>
      </c>
      <c r="O82" s="9" t="s">
        <v>298</v>
      </c>
      <c r="R82" s="9" t="s">
        <v>299</v>
      </c>
      <c r="S82" s="9" t="s">
        <v>74</v>
      </c>
      <c r="V82" s="10"/>
      <c r="Y82" s="20" t="s">
        <v>300</v>
      </c>
      <c r="Z82" s="9" t="s">
        <v>79</v>
      </c>
      <c r="AB82" s="10"/>
      <c r="AC82" s="10">
        <v>2018</v>
      </c>
      <c r="AD82" s="10" t="s">
        <v>301</v>
      </c>
      <c r="AE82" s="10">
        <v>6</v>
      </c>
      <c r="AF82" s="9" t="s">
        <v>274</v>
      </c>
      <c r="AG82" s="9" t="s">
        <v>302</v>
      </c>
      <c r="AI82" s="9" t="s">
        <v>80</v>
      </c>
      <c r="AK82" s="9" t="s">
        <v>303</v>
      </c>
      <c r="AL82" s="9" t="s">
        <v>304</v>
      </c>
      <c r="AM82" s="21" t="s">
        <v>305</v>
      </c>
      <c r="AN82" s="21"/>
      <c r="AP82" s="10"/>
      <c r="AQ82" s="10"/>
      <c r="AR82" s="10"/>
      <c r="AS82" s="10"/>
      <c r="AT82" s="10"/>
      <c r="AU82" s="10"/>
      <c r="AV82" s="22">
        <v>17.494890000000002</v>
      </c>
      <c r="AW82" s="22">
        <v>-97.351039999999998</v>
      </c>
      <c r="AX82" s="9" t="s">
        <v>72</v>
      </c>
      <c r="AY82" s="10">
        <v>2018</v>
      </c>
      <c r="AZ82" s="9" t="s">
        <v>306</v>
      </c>
      <c r="BB82" s="19" t="s">
        <v>294</v>
      </c>
      <c r="BC82" s="9" t="s">
        <v>85</v>
      </c>
      <c r="BD82" s="9" t="s">
        <v>86</v>
      </c>
      <c r="BE82" s="12" t="s">
        <v>87</v>
      </c>
      <c r="BF82" s="12" t="s">
        <v>307</v>
      </c>
      <c r="BH82" s="9" t="s">
        <v>104</v>
      </c>
      <c r="BJ82" s="12"/>
    </row>
    <row r="83" spans="2:62" s="9" customFormat="1" x14ac:dyDescent="0.2">
      <c r="B83" s="10"/>
      <c r="E83" s="19" t="s">
        <v>294</v>
      </c>
      <c r="F83" s="9" t="s">
        <v>308</v>
      </c>
      <c r="G83" s="9" t="s">
        <v>72</v>
      </c>
      <c r="I83" s="9" t="s">
        <v>296</v>
      </c>
      <c r="J83" s="9" t="s">
        <v>74</v>
      </c>
      <c r="K83" s="9" t="s">
        <v>297</v>
      </c>
      <c r="L83" s="10">
        <v>1</v>
      </c>
      <c r="M83" s="9" t="s">
        <v>76</v>
      </c>
      <c r="N83" s="9" t="s">
        <v>113</v>
      </c>
      <c r="O83" s="9" t="s">
        <v>309</v>
      </c>
      <c r="R83" s="9" t="s">
        <v>299</v>
      </c>
      <c r="S83" s="9" t="s">
        <v>74</v>
      </c>
      <c r="U83" s="9" t="s">
        <v>310</v>
      </c>
      <c r="V83" s="10"/>
      <c r="Y83" s="20" t="s">
        <v>300</v>
      </c>
      <c r="Z83" s="9" t="s">
        <v>79</v>
      </c>
      <c r="AB83" s="10"/>
      <c r="AC83" s="10">
        <v>2018</v>
      </c>
      <c r="AD83" s="10" t="s">
        <v>301</v>
      </c>
      <c r="AE83" s="10">
        <v>6</v>
      </c>
      <c r="AF83" s="9" t="s">
        <v>274</v>
      </c>
      <c r="AG83" s="9" t="s">
        <v>311</v>
      </c>
      <c r="AI83" s="9" t="s">
        <v>80</v>
      </c>
      <c r="AK83" s="9" t="s">
        <v>303</v>
      </c>
      <c r="AL83" s="9" t="s">
        <v>304</v>
      </c>
      <c r="AM83" s="21" t="s">
        <v>305</v>
      </c>
      <c r="AN83" s="21"/>
      <c r="AP83" s="10"/>
      <c r="AQ83" s="10"/>
      <c r="AR83" s="10"/>
      <c r="AS83" s="10"/>
      <c r="AT83" s="10"/>
      <c r="AU83" s="10"/>
      <c r="AV83" s="22">
        <v>17.494890000000002</v>
      </c>
      <c r="AW83" s="22">
        <v>-97.351039999999998</v>
      </c>
      <c r="AX83" s="9" t="s">
        <v>72</v>
      </c>
      <c r="AY83" s="10">
        <v>2018</v>
      </c>
      <c r="AZ83" s="9" t="s">
        <v>306</v>
      </c>
      <c r="BB83" s="19" t="s">
        <v>294</v>
      </c>
      <c r="BC83" s="9" t="s">
        <v>85</v>
      </c>
      <c r="BD83" s="9" t="s">
        <v>86</v>
      </c>
      <c r="BE83" s="12" t="s">
        <v>87</v>
      </c>
      <c r="BF83" s="12" t="s">
        <v>307</v>
      </c>
      <c r="BH83" s="9" t="s">
        <v>104</v>
      </c>
      <c r="BJ83" s="12"/>
    </row>
    <row r="84" spans="2:62" s="9" customFormat="1" x14ac:dyDescent="0.2">
      <c r="B84" s="10"/>
      <c r="E84" s="9" t="s">
        <v>312</v>
      </c>
      <c r="F84" s="9" t="s">
        <v>313</v>
      </c>
      <c r="G84" s="9" t="s">
        <v>72</v>
      </c>
      <c r="I84" s="9" t="s">
        <v>296</v>
      </c>
      <c r="J84" s="9" t="s">
        <v>74</v>
      </c>
      <c r="K84" s="9" t="s">
        <v>297</v>
      </c>
      <c r="L84" s="10">
        <v>1</v>
      </c>
      <c r="M84" s="9" t="s">
        <v>76</v>
      </c>
      <c r="N84" s="9" t="s">
        <v>113</v>
      </c>
      <c r="O84" s="9" t="s">
        <v>309</v>
      </c>
      <c r="R84" s="9" t="s">
        <v>299</v>
      </c>
      <c r="S84" s="9" t="s">
        <v>74</v>
      </c>
      <c r="V84" s="10"/>
      <c r="Y84" s="20" t="s">
        <v>300</v>
      </c>
      <c r="Z84" s="9" t="s">
        <v>79</v>
      </c>
      <c r="AB84" s="10"/>
      <c r="AC84" s="10">
        <v>2018</v>
      </c>
      <c r="AD84" s="10" t="s">
        <v>301</v>
      </c>
      <c r="AE84" s="10">
        <v>6</v>
      </c>
      <c r="AF84" s="9" t="s">
        <v>314</v>
      </c>
      <c r="AG84" s="9" t="s">
        <v>315</v>
      </c>
      <c r="AI84" s="9" t="s">
        <v>80</v>
      </c>
      <c r="AK84" s="9" t="s">
        <v>303</v>
      </c>
      <c r="AL84" s="9" t="s">
        <v>304</v>
      </c>
      <c r="AM84" s="21" t="s">
        <v>305</v>
      </c>
      <c r="AN84" s="21"/>
      <c r="AP84" s="10"/>
      <c r="AQ84" s="10"/>
      <c r="AR84" s="10"/>
      <c r="AS84" s="10"/>
      <c r="AT84" s="10"/>
      <c r="AU84" s="10"/>
      <c r="AV84" s="22">
        <v>17.49334</v>
      </c>
      <c r="AW84" s="22">
        <v>-97.353149999999999</v>
      </c>
      <c r="AX84" s="9" t="s">
        <v>72</v>
      </c>
      <c r="AY84" s="10">
        <v>2018</v>
      </c>
      <c r="AZ84" s="9" t="s">
        <v>306</v>
      </c>
      <c r="BB84" s="9" t="s">
        <v>312</v>
      </c>
      <c r="BC84" s="9" t="s">
        <v>85</v>
      </c>
      <c r="BD84" s="9" t="s">
        <v>101</v>
      </c>
      <c r="BE84" s="12" t="s">
        <v>316</v>
      </c>
      <c r="BF84" s="12" t="s">
        <v>317</v>
      </c>
      <c r="BH84" s="9" t="s">
        <v>104</v>
      </c>
      <c r="BJ84" s="12"/>
    </row>
    <row r="85" spans="2:62" s="9" customFormat="1" x14ac:dyDescent="0.2">
      <c r="B85" s="10"/>
      <c r="E85" s="19" t="s">
        <v>294</v>
      </c>
      <c r="F85" s="9" t="s">
        <v>318</v>
      </c>
      <c r="G85" s="9" t="s">
        <v>72</v>
      </c>
      <c r="I85" s="9" t="s">
        <v>296</v>
      </c>
      <c r="J85" s="9" t="s">
        <v>74</v>
      </c>
      <c r="K85" s="9" t="s">
        <v>297</v>
      </c>
      <c r="L85" s="10">
        <v>1</v>
      </c>
      <c r="M85" s="9" t="s">
        <v>76</v>
      </c>
      <c r="N85" s="9" t="s">
        <v>113</v>
      </c>
      <c r="O85" s="9" t="s">
        <v>309</v>
      </c>
      <c r="P85" s="9" t="s">
        <v>319</v>
      </c>
      <c r="R85" s="9" t="s">
        <v>299</v>
      </c>
      <c r="S85" s="9" t="s">
        <v>74</v>
      </c>
      <c r="V85" s="10"/>
      <c r="Y85" s="20" t="s">
        <v>300</v>
      </c>
      <c r="Z85" s="9" t="s">
        <v>79</v>
      </c>
      <c r="AB85" s="10"/>
      <c r="AC85" s="10">
        <v>2018</v>
      </c>
      <c r="AD85" s="10" t="s">
        <v>301</v>
      </c>
      <c r="AE85" s="10">
        <v>6</v>
      </c>
      <c r="AF85" s="9" t="s">
        <v>320</v>
      </c>
      <c r="AG85" s="9" t="s">
        <v>315</v>
      </c>
      <c r="AI85" s="9" t="s">
        <v>80</v>
      </c>
      <c r="AK85" s="9" t="s">
        <v>303</v>
      </c>
      <c r="AL85" s="9" t="s">
        <v>304</v>
      </c>
      <c r="AM85" s="21" t="s">
        <v>305</v>
      </c>
      <c r="AN85" s="21"/>
      <c r="AP85" s="10"/>
      <c r="AQ85" s="10"/>
      <c r="AR85" s="10"/>
      <c r="AS85" s="10"/>
      <c r="AT85" s="10"/>
      <c r="AU85" s="10"/>
      <c r="AV85" s="22">
        <v>17.497890000000002</v>
      </c>
      <c r="AW85" s="22">
        <v>-97.348190000000002</v>
      </c>
      <c r="AX85" s="9" t="s">
        <v>72</v>
      </c>
      <c r="AY85" s="10">
        <v>2018</v>
      </c>
      <c r="AZ85" s="9" t="s">
        <v>306</v>
      </c>
      <c r="BB85" s="19" t="s">
        <v>294</v>
      </c>
      <c r="BC85" s="9" t="s">
        <v>85</v>
      </c>
      <c r="BD85" s="9" t="s">
        <v>86</v>
      </c>
      <c r="BE85" s="12" t="s">
        <v>87</v>
      </c>
      <c r="BF85" s="12" t="s">
        <v>307</v>
      </c>
      <c r="BH85" s="9" t="s">
        <v>104</v>
      </c>
      <c r="BJ85" s="12"/>
    </row>
    <row r="86" spans="2:62" s="24" customFormat="1" x14ac:dyDescent="0.2">
      <c r="B86" s="25"/>
      <c r="E86" s="23" t="s">
        <v>321</v>
      </c>
      <c r="F86" s="24" t="s">
        <v>322</v>
      </c>
      <c r="G86" s="24" t="s">
        <v>72</v>
      </c>
      <c r="I86" s="24" t="s">
        <v>296</v>
      </c>
      <c r="J86" s="24" t="s">
        <v>74</v>
      </c>
      <c r="K86" s="24" t="s">
        <v>297</v>
      </c>
      <c r="L86" s="25">
        <v>1</v>
      </c>
      <c r="M86" s="24" t="s">
        <v>76</v>
      </c>
      <c r="N86" s="24" t="s">
        <v>201</v>
      </c>
      <c r="O86" s="24" t="s">
        <v>323</v>
      </c>
      <c r="Q86" s="24" t="s">
        <v>324</v>
      </c>
      <c r="R86" s="24" t="s">
        <v>299</v>
      </c>
      <c r="S86" s="24" t="s">
        <v>74</v>
      </c>
      <c r="V86" s="25"/>
      <c r="Y86" s="25" t="s">
        <v>325</v>
      </c>
      <c r="Z86" s="24" t="s">
        <v>79</v>
      </c>
      <c r="AB86" s="25"/>
      <c r="AC86" s="25">
        <v>2018</v>
      </c>
      <c r="AD86" s="25" t="s">
        <v>301</v>
      </c>
      <c r="AE86" s="25">
        <v>7</v>
      </c>
      <c r="AF86" s="24" t="s">
        <v>326</v>
      </c>
      <c r="AG86" s="24" t="s">
        <v>327</v>
      </c>
      <c r="AI86" s="24" t="s">
        <v>80</v>
      </c>
      <c r="AK86" s="24" t="s">
        <v>303</v>
      </c>
      <c r="AL86" s="24" t="s">
        <v>304</v>
      </c>
      <c r="AM86" s="32" t="s">
        <v>305</v>
      </c>
      <c r="AN86" s="32"/>
      <c r="AP86" s="25"/>
      <c r="AQ86" s="25">
        <v>2175</v>
      </c>
      <c r="AR86" s="25"/>
      <c r="AS86" s="25"/>
      <c r="AT86" s="25"/>
      <c r="AU86" s="25"/>
      <c r="AV86" s="33">
        <v>17.498000000000001</v>
      </c>
      <c r="AW86" s="33">
        <v>-97.348470000000006</v>
      </c>
      <c r="AX86" s="24" t="s">
        <v>72</v>
      </c>
      <c r="AY86" s="25">
        <v>2018</v>
      </c>
      <c r="BB86" s="23" t="s">
        <v>321</v>
      </c>
      <c r="BC86" s="24" t="s">
        <v>85</v>
      </c>
      <c r="BD86" s="24" t="s">
        <v>109</v>
      </c>
      <c r="BE86" s="30" t="s">
        <v>110</v>
      </c>
      <c r="BF86" s="30" t="s">
        <v>328</v>
      </c>
      <c r="BH86" s="24" t="s">
        <v>104</v>
      </c>
      <c r="BJ86" s="30"/>
    </row>
    <row r="87" spans="2:62" s="34" customFormat="1" x14ac:dyDescent="0.2">
      <c r="B87" s="35"/>
      <c r="E87" s="42" t="s">
        <v>321</v>
      </c>
      <c r="F87" s="34" t="s">
        <v>329</v>
      </c>
      <c r="G87" s="34" t="s">
        <v>72</v>
      </c>
      <c r="I87" s="34" t="s">
        <v>296</v>
      </c>
      <c r="J87" s="34" t="s">
        <v>74</v>
      </c>
      <c r="K87" s="34" t="s">
        <v>297</v>
      </c>
      <c r="L87" s="35">
        <v>1</v>
      </c>
      <c r="M87" s="34" t="s">
        <v>76</v>
      </c>
      <c r="N87" s="34" t="s">
        <v>113</v>
      </c>
      <c r="O87" s="34" t="s">
        <v>309</v>
      </c>
      <c r="Q87" s="34" t="s">
        <v>324</v>
      </c>
      <c r="R87" s="34" t="s">
        <v>299</v>
      </c>
      <c r="S87" s="34" t="s">
        <v>74</v>
      </c>
      <c r="U87" s="34" t="s">
        <v>330</v>
      </c>
      <c r="V87" s="35"/>
      <c r="Y87" s="35" t="s">
        <v>325</v>
      </c>
      <c r="Z87" s="34" t="s">
        <v>79</v>
      </c>
      <c r="AB87" s="35"/>
      <c r="AC87" s="35">
        <v>2018</v>
      </c>
      <c r="AD87" s="35" t="s">
        <v>301</v>
      </c>
      <c r="AE87" s="35">
        <v>7</v>
      </c>
      <c r="AF87" s="34" t="s">
        <v>326</v>
      </c>
      <c r="AG87" s="34" t="s">
        <v>327</v>
      </c>
      <c r="AI87" s="34" t="s">
        <v>80</v>
      </c>
      <c r="AK87" s="34" t="s">
        <v>303</v>
      </c>
      <c r="AL87" s="34" t="s">
        <v>304</v>
      </c>
      <c r="AM87" s="43" t="s">
        <v>305</v>
      </c>
      <c r="AN87" s="43"/>
      <c r="AP87" s="35"/>
      <c r="AQ87" s="35">
        <v>2175</v>
      </c>
      <c r="AR87" s="35"/>
      <c r="AS87" s="35"/>
      <c r="AT87" s="35"/>
      <c r="AU87" s="35"/>
      <c r="AV87" s="44">
        <v>17.498000000000001</v>
      </c>
      <c r="AW87" s="44">
        <v>-97.348470000000006</v>
      </c>
      <c r="AX87" s="34" t="s">
        <v>72</v>
      </c>
      <c r="AY87" s="35">
        <v>2018</v>
      </c>
      <c r="BB87" s="42" t="s">
        <v>321</v>
      </c>
      <c r="BC87" s="34" t="s">
        <v>85</v>
      </c>
      <c r="BD87" s="34" t="s">
        <v>109</v>
      </c>
      <c r="BE87" s="41" t="s">
        <v>110</v>
      </c>
      <c r="BF87" s="41" t="s">
        <v>328</v>
      </c>
      <c r="BH87" s="34" t="s">
        <v>104</v>
      </c>
      <c r="BJ87" s="41"/>
    </row>
    <row r="88" spans="2:62" s="9" customFormat="1" x14ac:dyDescent="0.2">
      <c r="B88" s="10"/>
      <c r="E88" s="19" t="s">
        <v>321</v>
      </c>
      <c r="F88" s="9" t="s">
        <v>331</v>
      </c>
      <c r="G88" s="9" t="s">
        <v>72</v>
      </c>
      <c r="I88" s="9" t="s">
        <v>296</v>
      </c>
      <c r="J88" s="9" t="s">
        <v>74</v>
      </c>
      <c r="K88" s="9" t="s">
        <v>297</v>
      </c>
      <c r="L88" s="10">
        <v>1</v>
      </c>
      <c r="M88" s="9" t="s">
        <v>76</v>
      </c>
      <c r="N88" s="9" t="s">
        <v>113</v>
      </c>
      <c r="O88" s="9" t="s">
        <v>309</v>
      </c>
      <c r="Q88" s="9" t="s">
        <v>324</v>
      </c>
      <c r="R88" s="9" t="s">
        <v>299</v>
      </c>
      <c r="S88" s="9" t="s">
        <v>74</v>
      </c>
      <c r="V88" s="10"/>
      <c r="W88" s="9" t="s">
        <v>74</v>
      </c>
      <c r="Y88" s="10" t="s">
        <v>325</v>
      </c>
      <c r="Z88" s="9" t="s">
        <v>79</v>
      </c>
      <c r="AB88" s="10"/>
      <c r="AC88" s="10">
        <v>2018</v>
      </c>
      <c r="AD88" s="10" t="s">
        <v>301</v>
      </c>
      <c r="AE88" s="10">
        <v>7</v>
      </c>
      <c r="AF88" s="9" t="s">
        <v>326</v>
      </c>
      <c r="AG88" s="9" t="s">
        <v>327</v>
      </c>
      <c r="AI88" s="9" t="s">
        <v>80</v>
      </c>
      <c r="AK88" s="9" t="s">
        <v>303</v>
      </c>
      <c r="AL88" s="9" t="s">
        <v>304</v>
      </c>
      <c r="AM88" s="21" t="s">
        <v>305</v>
      </c>
      <c r="AN88" s="21">
        <v>137</v>
      </c>
      <c r="AP88" s="10"/>
      <c r="AQ88" s="10">
        <v>2175</v>
      </c>
      <c r="AR88" s="10"/>
      <c r="AS88" s="10"/>
      <c r="AT88" s="10"/>
      <c r="AU88" s="10"/>
      <c r="AV88" s="22">
        <v>17.498000000000001</v>
      </c>
      <c r="AW88" s="22">
        <v>-97.348470000000006</v>
      </c>
      <c r="AX88" s="9" t="s">
        <v>72</v>
      </c>
      <c r="AY88" s="10">
        <v>2018</v>
      </c>
      <c r="BB88" s="19" t="s">
        <v>321</v>
      </c>
      <c r="BC88" s="9" t="s">
        <v>85</v>
      </c>
      <c r="BD88" s="9" t="s">
        <v>109</v>
      </c>
      <c r="BE88" s="12" t="s">
        <v>110</v>
      </c>
      <c r="BF88" s="12" t="s">
        <v>328</v>
      </c>
      <c r="BH88" s="9" t="s">
        <v>104</v>
      </c>
      <c r="BJ88" s="12"/>
    </row>
    <row r="89" spans="2:62" s="9" customFormat="1" x14ac:dyDescent="0.2">
      <c r="B89" s="10"/>
      <c r="E89" s="19" t="s">
        <v>332</v>
      </c>
      <c r="F89" s="9" t="s">
        <v>333</v>
      </c>
      <c r="G89" s="9" t="s">
        <v>72</v>
      </c>
      <c r="I89" s="9" t="s">
        <v>296</v>
      </c>
      <c r="J89" s="9" t="s">
        <v>74</v>
      </c>
      <c r="K89" s="9" t="s">
        <v>297</v>
      </c>
      <c r="L89" s="10">
        <v>1</v>
      </c>
      <c r="M89" s="9" t="s">
        <v>76</v>
      </c>
      <c r="N89" s="9" t="s">
        <v>113</v>
      </c>
      <c r="O89" s="9" t="s">
        <v>309</v>
      </c>
      <c r="Q89" s="9" t="s">
        <v>115</v>
      </c>
      <c r="R89" s="9" t="s">
        <v>299</v>
      </c>
      <c r="S89" s="9" t="s">
        <v>74</v>
      </c>
      <c r="V89" s="10" t="s">
        <v>334</v>
      </c>
      <c r="W89" s="9" t="s">
        <v>74</v>
      </c>
      <c r="Y89" s="10" t="s">
        <v>335</v>
      </c>
      <c r="Z89" s="9" t="s">
        <v>79</v>
      </c>
      <c r="AB89" s="10"/>
      <c r="AC89" s="10">
        <v>2018</v>
      </c>
      <c r="AD89" s="10" t="s">
        <v>301</v>
      </c>
      <c r="AE89" s="10">
        <v>7</v>
      </c>
      <c r="AF89" s="9" t="s">
        <v>336</v>
      </c>
      <c r="AG89" s="9" t="s">
        <v>337</v>
      </c>
      <c r="AI89" s="9" t="s">
        <v>80</v>
      </c>
      <c r="AK89" s="9" t="s">
        <v>303</v>
      </c>
      <c r="AL89" s="9" t="s">
        <v>338</v>
      </c>
      <c r="AM89" s="21" t="s">
        <v>339</v>
      </c>
      <c r="AN89" s="21"/>
      <c r="AP89" s="10"/>
      <c r="AQ89" s="10">
        <v>1490</v>
      </c>
      <c r="AR89" s="10"/>
      <c r="AS89" s="10"/>
      <c r="AT89" s="10"/>
      <c r="AU89" s="10"/>
      <c r="AV89" s="22">
        <v>17.761610000000001</v>
      </c>
      <c r="AW89" s="22">
        <v>-97.804689999999994</v>
      </c>
      <c r="AX89" s="9" t="s">
        <v>72</v>
      </c>
      <c r="AY89" s="10">
        <v>2018</v>
      </c>
      <c r="BB89" s="19" t="s">
        <v>332</v>
      </c>
      <c r="BC89" s="9" t="s">
        <v>85</v>
      </c>
      <c r="BD89" s="9" t="s">
        <v>86</v>
      </c>
      <c r="BE89" s="12" t="s">
        <v>87</v>
      </c>
      <c r="BF89" s="12" t="s">
        <v>340</v>
      </c>
      <c r="BH89" s="9" t="s">
        <v>104</v>
      </c>
      <c r="BJ89" s="12"/>
    </row>
    <row r="90" spans="2:62" s="9" customFormat="1" x14ac:dyDescent="0.2">
      <c r="B90" s="10"/>
      <c r="E90" s="19" t="s">
        <v>332</v>
      </c>
      <c r="F90" s="9" t="s">
        <v>341</v>
      </c>
      <c r="G90" s="9" t="s">
        <v>72</v>
      </c>
      <c r="I90" s="9" t="s">
        <v>296</v>
      </c>
      <c r="J90" s="9" t="s">
        <v>74</v>
      </c>
      <c r="K90" s="9" t="s">
        <v>297</v>
      </c>
      <c r="L90" s="10">
        <v>1</v>
      </c>
      <c r="M90" s="9" t="s">
        <v>76</v>
      </c>
      <c r="N90" s="9" t="s">
        <v>113</v>
      </c>
      <c r="O90" s="9" t="s">
        <v>309</v>
      </c>
      <c r="Q90" s="9" t="s">
        <v>115</v>
      </c>
      <c r="R90" s="9" t="s">
        <v>299</v>
      </c>
      <c r="S90" s="9" t="s">
        <v>74</v>
      </c>
      <c r="V90" s="10" t="s">
        <v>334</v>
      </c>
      <c r="W90" s="9" t="s">
        <v>74</v>
      </c>
      <c r="Y90" s="10" t="s">
        <v>335</v>
      </c>
      <c r="Z90" s="9" t="s">
        <v>79</v>
      </c>
      <c r="AB90" s="10"/>
      <c r="AC90" s="10">
        <v>2018</v>
      </c>
      <c r="AD90" s="10" t="s">
        <v>301</v>
      </c>
      <c r="AE90" s="10">
        <v>7</v>
      </c>
      <c r="AF90" s="9" t="s">
        <v>336</v>
      </c>
      <c r="AG90" s="9" t="s">
        <v>337</v>
      </c>
      <c r="AI90" s="9" t="s">
        <v>80</v>
      </c>
      <c r="AK90" s="9" t="s">
        <v>303</v>
      </c>
      <c r="AL90" s="9" t="s">
        <v>338</v>
      </c>
      <c r="AM90" s="21" t="s">
        <v>339</v>
      </c>
      <c r="AN90" s="21"/>
      <c r="AP90" s="10"/>
      <c r="AQ90" s="10">
        <v>1490</v>
      </c>
      <c r="AR90" s="10"/>
      <c r="AS90" s="10"/>
      <c r="AT90" s="10"/>
      <c r="AU90" s="10"/>
      <c r="AV90" s="22">
        <v>17.761610000000001</v>
      </c>
      <c r="AW90" s="22">
        <v>-97.804689999999994</v>
      </c>
      <c r="AX90" s="9" t="s">
        <v>72</v>
      </c>
      <c r="AY90" s="10">
        <v>2018</v>
      </c>
      <c r="BB90" s="19" t="s">
        <v>332</v>
      </c>
      <c r="BC90" s="9" t="s">
        <v>85</v>
      </c>
      <c r="BD90" s="9" t="s">
        <v>86</v>
      </c>
      <c r="BE90" s="12" t="s">
        <v>87</v>
      </c>
      <c r="BF90" s="12" t="s">
        <v>340</v>
      </c>
      <c r="BH90" s="9" t="s">
        <v>104</v>
      </c>
      <c r="BJ90" s="12"/>
    </row>
    <row r="91" spans="2:62" s="9" customFormat="1" x14ac:dyDescent="0.2">
      <c r="B91" s="10"/>
      <c r="E91" s="19" t="s">
        <v>332</v>
      </c>
      <c r="F91" s="9" t="s">
        <v>342</v>
      </c>
      <c r="G91" s="9" t="s">
        <v>72</v>
      </c>
      <c r="I91" s="9" t="s">
        <v>296</v>
      </c>
      <c r="J91" s="9" t="s">
        <v>74</v>
      </c>
      <c r="K91" s="9" t="s">
        <v>297</v>
      </c>
      <c r="L91" s="10">
        <v>1</v>
      </c>
      <c r="M91" s="9" t="s">
        <v>76</v>
      </c>
      <c r="N91" s="9" t="s">
        <v>201</v>
      </c>
      <c r="Q91" s="9" t="s">
        <v>115</v>
      </c>
      <c r="R91" s="9" t="s">
        <v>299</v>
      </c>
      <c r="S91" s="9" t="s">
        <v>74</v>
      </c>
      <c r="V91" s="10"/>
      <c r="Y91" s="10" t="s">
        <v>335</v>
      </c>
      <c r="Z91" s="9" t="s">
        <v>79</v>
      </c>
      <c r="AB91" s="10"/>
      <c r="AC91" s="10">
        <v>2018</v>
      </c>
      <c r="AD91" s="10" t="s">
        <v>301</v>
      </c>
      <c r="AE91" s="10">
        <v>7</v>
      </c>
      <c r="AF91" s="9" t="s">
        <v>336</v>
      </c>
      <c r="AG91" s="9" t="s">
        <v>337</v>
      </c>
      <c r="AI91" s="9" t="s">
        <v>80</v>
      </c>
      <c r="AK91" s="9" t="s">
        <v>303</v>
      </c>
      <c r="AL91" s="9" t="s">
        <v>338</v>
      </c>
      <c r="AM91" s="21" t="s">
        <v>339</v>
      </c>
      <c r="AN91" s="21"/>
      <c r="AP91" s="10"/>
      <c r="AQ91" s="10">
        <v>1490</v>
      </c>
      <c r="AR91" s="10"/>
      <c r="AS91" s="10"/>
      <c r="AT91" s="10"/>
      <c r="AU91" s="10"/>
      <c r="AV91" s="22">
        <v>17.761610000000001</v>
      </c>
      <c r="AW91" s="22">
        <v>-97.804689999999994</v>
      </c>
      <c r="AX91" s="9" t="s">
        <v>72</v>
      </c>
      <c r="AY91" s="10">
        <v>2018</v>
      </c>
      <c r="BB91" s="19" t="s">
        <v>332</v>
      </c>
      <c r="BC91" s="9" t="s">
        <v>85</v>
      </c>
      <c r="BD91" s="9" t="s">
        <v>86</v>
      </c>
      <c r="BE91" s="12" t="s">
        <v>87</v>
      </c>
      <c r="BF91" s="12" t="s">
        <v>340</v>
      </c>
      <c r="BH91" s="9" t="s">
        <v>104</v>
      </c>
      <c r="BJ91" s="12"/>
    </row>
    <row r="92" spans="2:62" s="9" customFormat="1" x14ac:dyDescent="0.2">
      <c r="B92" s="10"/>
      <c r="E92" s="19" t="s">
        <v>332</v>
      </c>
      <c r="F92" s="9" t="s">
        <v>343</v>
      </c>
      <c r="G92" s="9" t="s">
        <v>72</v>
      </c>
      <c r="I92" s="9" t="s">
        <v>296</v>
      </c>
      <c r="J92" s="9" t="s">
        <v>74</v>
      </c>
      <c r="K92" s="9" t="s">
        <v>297</v>
      </c>
      <c r="L92" s="10">
        <v>1</v>
      </c>
      <c r="M92" s="9" t="s">
        <v>76</v>
      </c>
      <c r="N92" s="9" t="s">
        <v>201</v>
      </c>
      <c r="Q92" s="9" t="s">
        <v>115</v>
      </c>
      <c r="R92" s="9" t="s">
        <v>299</v>
      </c>
      <c r="S92" s="9" t="s">
        <v>74</v>
      </c>
      <c r="V92" s="10"/>
      <c r="Y92" s="10" t="s">
        <v>335</v>
      </c>
      <c r="Z92" s="9" t="s">
        <v>79</v>
      </c>
      <c r="AB92" s="10"/>
      <c r="AC92" s="10">
        <v>2018</v>
      </c>
      <c r="AD92" s="10" t="s">
        <v>301</v>
      </c>
      <c r="AE92" s="10">
        <v>7</v>
      </c>
      <c r="AF92" s="9" t="s">
        <v>336</v>
      </c>
      <c r="AG92" s="9" t="s">
        <v>337</v>
      </c>
      <c r="AI92" s="9" t="s">
        <v>80</v>
      </c>
      <c r="AK92" s="9" t="s">
        <v>303</v>
      </c>
      <c r="AL92" s="9" t="s">
        <v>338</v>
      </c>
      <c r="AM92" s="21" t="s">
        <v>339</v>
      </c>
      <c r="AN92" s="21"/>
      <c r="AP92" s="10"/>
      <c r="AQ92" s="10">
        <v>1490</v>
      </c>
      <c r="AR92" s="10"/>
      <c r="AS92" s="10"/>
      <c r="AT92" s="10"/>
      <c r="AU92" s="10"/>
      <c r="AV92" s="22">
        <v>17.761610000000001</v>
      </c>
      <c r="AW92" s="22">
        <v>-97.804689999999994</v>
      </c>
      <c r="AX92" s="9" t="s">
        <v>72</v>
      </c>
      <c r="AY92" s="10">
        <v>2018</v>
      </c>
      <c r="BB92" s="19" t="s">
        <v>332</v>
      </c>
      <c r="BC92" s="9" t="s">
        <v>85</v>
      </c>
      <c r="BD92" s="9" t="s">
        <v>86</v>
      </c>
      <c r="BE92" s="12" t="s">
        <v>87</v>
      </c>
      <c r="BF92" s="12" t="s">
        <v>340</v>
      </c>
      <c r="BH92" s="9" t="s">
        <v>104</v>
      </c>
      <c r="BJ92" s="12"/>
    </row>
    <row r="93" spans="2:62" s="9" customFormat="1" x14ac:dyDescent="0.2">
      <c r="B93" s="10"/>
      <c r="E93" s="19" t="s">
        <v>332</v>
      </c>
      <c r="F93" s="9" t="s">
        <v>344</v>
      </c>
      <c r="G93" s="9" t="s">
        <v>72</v>
      </c>
      <c r="I93" s="9" t="s">
        <v>296</v>
      </c>
      <c r="J93" s="9" t="s">
        <v>74</v>
      </c>
      <c r="K93" s="9" t="s">
        <v>297</v>
      </c>
      <c r="L93" s="10">
        <v>1</v>
      </c>
      <c r="M93" s="9" t="s">
        <v>76</v>
      </c>
      <c r="N93" s="9" t="s">
        <v>201</v>
      </c>
      <c r="Q93" s="9" t="s">
        <v>115</v>
      </c>
      <c r="R93" s="9" t="s">
        <v>299</v>
      </c>
      <c r="S93" s="9" t="s">
        <v>74</v>
      </c>
      <c r="V93" s="10"/>
      <c r="Y93" s="10" t="s">
        <v>335</v>
      </c>
      <c r="Z93" s="9" t="s">
        <v>79</v>
      </c>
      <c r="AB93" s="10"/>
      <c r="AC93" s="10">
        <v>2018</v>
      </c>
      <c r="AD93" s="10" t="s">
        <v>301</v>
      </c>
      <c r="AE93" s="10">
        <v>7</v>
      </c>
      <c r="AF93" s="9" t="s">
        <v>336</v>
      </c>
      <c r="AG93" s="9" t="s">
        <v>337</v>
      </c>
      <c r="AI93" s="9" t="s">
        <v>80</v>
      </c>
      <c r="AK93" s="9" t="s">
        <v>303</v>
      </c>
      <c r="AL93" s="9" t="s">
        <v>338</v>
      </c>
      <c r="AM93" s="21" t="s">
        <v>339</v>
      </c>
      <c r="AN93" s="21"/>
      <c r="AP93" s="10"/>
      <c r="AQ93" s="10">
        <v>1490</v>
      </c>
      <c r="AR93" s="10"/>
      <c r="AS93" s="10"/>
      <c r="AT93" s="10"/>
      <c r="AU93" s="10"/>
      <c r="AV93" s="22">
        <v>17.761610000000001</v>
      </c>
      <c r="AW93" s="22">
        <v>-97.804689999999994</v>
      </c>
      <c r="AX93" s="9" t="s">
        <v>72</v>
      </c>
      <c r="AY93" s="10">
        <v>2018</v>
      </c>
      <c r="BB93" s="19" t="s">
        <v>332</v>
      </c>
      <c r="BC93" s="9" t="s">
        <v>85</v>
      </c>
      <c r="BD93" s="9" t="s">
        <v>86</v>
      </c>
      <c r="BE93" s="12" t="s">
        <v>87</v>
      </c>
      <c r="BF93" s="12" t="s">
        <v>340</v>
      </c>
      <c r="BH93" s="9" t="s">
        <v>104</v>
      </c>
      <c r="BJ93" s="12"/>
    </row>
    <row r="94" spans="2:62" s="9" customFormat="1" x14ac:dyDescent="0.2">
      <c r="B94" s="10"/>
      <c r="E94" s="19" t="s">
        <v>345</v>
      </c>
      <c r="F94" s="9" t="s">
        <v>346</v>
      </c>
      <c r="G94" s="9" t="s">
        <v>72</v>
      </c>
      <c r="I94" s="9" t="s">
        <v>296</v>
      </c>
      <c r="J94" s="9" t="s">
        <v>74</v>
      </c>
      <c r="K94" s="9" t="s">
        <v>297</v>
      </c>
      <c r="L94" s="10">
        <v>1</v>
      </c>
      <c r="M94" s="9" t="s">
        <v>76</v>
      </c>
      <c r="N94" s="9" t="s">
        <v>113</v>
      </c>
      <c r="Q94" s="9" t="s">
        <v>347</v>
      </c>
      <c r="R94" s="9" t="s">
        <v>299</v>
      </c>
      <c r="S94" s="9" t="s">
        <v>74</v>
      </c>
      <c r="V94" s="10"/>
      <c r="Y94" s="10" t="s">
        <v>335</v>
      </c>
      <c r="Z94" s="9" t="s">
        <v>79</v>
      </c>
      <c r="AB94" s="10"/>
      <c r="AC94" s="10">
        <v>2018</v>
      </c>
      <c r="AD94" s="10" t="s">
        <v>301</v>
      </c>
      <c r="AE94" s="10">
        <v>7</v>
      </c>
      <c r="AF94" s="9" t="s">
        <v>336</v>
      </c>
      <c r="AG94" s="9" t="s">
        <v>315</v>
      </c>
      <c r="AI94" s="9" t="s">
        <v>80</v>
      </c>
      <c r="AK94" s="9" t="s">
        <v>303</v>
      </c>
      <c r="AL94" s="9" t="s">
        <v>338</v>
      </c>
      <c r="AM94" s="21" t="s">
        <v>339</v>
      </c>
      <c r="AN94" s="21"/>
      <c r="AP94" s="10"/>
      <c r="AQ94" s="10">
        <v>1490</v>
      </c>
      <c r="AR94" s="10"/>
      <c r="AS94" s="10"/>
      <c r="AT94" s="10"/>
      <c r="AU94" s="10"/>
      <c r="AV94" s="22">
        <v>17.761610000000001</v>
      </c>
      <c r="AW94" s="22">
        <v>-97.804689999999994</v>
      </c>
      <c r="AX94" s="9" t="s">
        <v>72</v>
      </c>
      <c r="AY94" s="10">
        <v>2018</v>
      </c>
      <c r="BB94" s="19" t="s">
        <v>345</v>
      </c>
      <c r="BC94" s="9" t="s">
        <v>348</v>
      </c>
      <c r="BD94" s="9" t="s">
        <v>349</v>
      </c>
      <c r="BE94" s="12" t="s">
        <v>350</v>
      </c>
      <c r="BF94" s="12" t="s">
        <v>351</v>
      </c>
      <c r="BH94" s="9" t="s">
        <v>104</v>
      </c>
      <c r="BJ94" s="12"/>
    </row>
    <row r="95" spans="2:62" s="9" customFormat="1" x14ac:dyDescent="0.2">
      <c r="B95" s="10"/>
      <c r="E95" s="19" t="s">
        <v>345</v>
      </c>
      <c r="F95" s="9" t="s">
        <v>352</v>
      </c>
      <c r="G95" s="9" t="s">
        <v>72</v>
      </c>
      <c r="I95" s="9" t="s">
        <v>296</v>
      </c>
      <c r="J95" s="9" t="s">
        <v>74</v>
      </c>
      <c r="K95" s="9" t="s">
        <v>297</v>
      </c>
      <c r="L95" s="10">
        <v>1</v>
      </c>
      <c r="M95" s="9" t="s">
        <v>76</v>
      </c>
      <c r="N95" s="9" t="s">
        <v>113</v>
      </c>
      <c r="Q95" s="9" t="s">
        <v>347</v>
      </c>
      <c r="R95" s="9" t="s">
        <v>299</v>
      </c>
      <c r="S95" s="9" t="s">
        <v>74</v>
      </c>
      <c r="V95" s="10"/>
      <c r="Y95" s="10" t="s">
        <v>335</v>
      </c>
      <c r="Z95" s="9" t="s">
        <v>79</v>
      </c>
      <c r="AB95" s="10"/>
      <c r="AC95" s="10">
        <v>2018</v>
      </c>
      <c r="AD95" s="10" t="s">
        <v>301</v>
      </c>
      <c r="AE95" s="10">
        <v>7</v>
      </c>
      <c r="AF95" s="9" t="s">
        <v>336</v>
      </c>
      <c r="AG95" s="9" t="s">
        <v>315</v>
      </c>
      <c r="AI95" s="9" t="s">
        <v>80</v>
      </c>
      <c r="AK95" s="9" t="s">
        <v>303</v>
      </c>
      <c r="AL95" s="9" t="s">
        <v>338</v>
      </c>
      <c r="AM95" s="21" t="s">
        <v>339</v>
      </c>
      <c r="AN95" s="21"/>
      <c r="AP95" s="10"/>
      <c r="AQ95" s="10">
        <v>1490</v>
      </c>
      <c r="AR95" s="10"/>
      <c r="AS95" s="10"/>
      <c r="AT95" s="10"/>
      <c r="AU95" s="10"/>
      <c r="AV95" s="22">
        <v>17.761610000000001</v>
      </c>
      <c r="AW95" s="22">
        <v>-97.804689999999994</v>
      </c>
      <c r="AX95" s="9" t="s">
        <v>72</v>
      </c>
      <c r="AY95" s="10">
        <v>2018</v>
      </c>
      <c r="BB95" s="19" t="s">
        <v>345</v>
      </c>
      <c r="BC95" s="9" t="s">
        <v>348</v>
      </c>
      <c r="BD95" s="9" t="s">
        <v>349</v>
      </c>
      <c r="BE95" s="12" t="s">
        <v>350</v>
      </c>
      <c r="BF95" s="12" t="s">
        <v>351</v>
      </c>
      <c r="BH95" s="9" t="s">
        <v>104</v>
      </c>
      <c r="BJ95" s="12"/>
    </row>
    <row r="96" spans="2:62" s="9" customFormat="1" x14ac:dyDescent="0.2">
      <c r="B96" s="10"/>
      <c r="E96" s="19" t="s">
        <v>345</v>
      </c>
      <c r="F96" s="9" t="s">
        <v>353</v>
      </c>
      <c r="G96" s="9" t="s">
        <v>72</v>
      </c>
      <c r="I96" s="9" t="s">
        <v>296</v>
      </c>
      <c r="J96" s="9" t="s">
        <v>74</v>
      </c>
      <c r="K96" s="9" t="s">
        <v>297</v>
      </c>
      <c r="L96" s="10">
        <v>1</v>
      </c>
      <c r="M96" s="9" t="s">
        <v>76</v>
      </c>
      <c r="N96" s="9" t="s">
        <v>113</v>
      </c>
      <c r="Q96" s="9" t="s">
        <v>347</v>
      </c>
      <c r="R96" s="9" t="s">
        <v>299</v>
      </c>
      <c r="S96" s="9" t="s">
        <v>74</v>
      </c>
      <c r="V96" s="10"/>
      <c r="Y96" s="10" t="s">
        <v>335</v>
      </c>
      <c r="Z96" s="9" t="s">
        <v>79</v>
      </c>
      <c r="AB96" s="10"/>
      <c r="AC96" s="10">
        <v>2018</v>
      </c>
      <c r="AD96" s="10" t="s">
        <v>301</v>
      </c>
      <c r="AE96" s="10">
        <v>7</v>
      </c>
      <c r="AF96" s="9" t="s">
        <v>336</v>
      </c>
      <c r="AG96" s="9" t="s">
        <v>315</v>
      </c>
      <c r="AI96" s="9" t="s">
        <v>80</v>
      </c>
      <c r="AK96" s="9" t="s">
        <v>303</v>
      </c>
      <c r="AL96" s="9" t="s">
        <v>338</v>
      </c>
      <c r="AM96" s="21" t="s">
        <v>339</v>
      </c>
      <c r="AN96" s="21"/>
      <c r="AP96" s="10"/>
      <c r="AQ96" s="10">
        <v>1490</v>
      </c>
      <c r="AR96" s="10"/>
      <c r="AS96" s="10"/>
      <c r="AT96" s="10"/>
      <c r="AU96" s="10"/>
      <c r="AV96" s="22">
        <v>17.761610000000001</v>
      </c>
      <c r="AW96" s="22">
        <v>-97.804689999999994</v>
      </c>
      <c r="AX96" s="9" t="s">
        <v>72</v>
      </c>
      <c r="AY96" s="10">
        <v>2018</v>
      </c>
      <c r="BB96" s="19" t="s">
        <v>345</v>
      </c>
      <c r="BC96" s="9" t="s">
        <v>348</v>
      </c>
      <c r="BD96" s="9" t="s">
        <v>349</v>
      </c>
      <c r="BE96" s="12" t="s">
        <v>350</v>
      </c>
      <c r="BF96" s="12" t="s">
        <v>351</v>
      </c>
      <c r="BH96" s="9" t="s">
        <v>104</v>
      </c>
      <c r="BJ96" s="12"/>
    </row>
    <row r="97" spans="2:62" s="9" customFormat="1" x14ac:dyDescent="0.2">
      <c r="B97" s="10"/>
      <c r="E97" s="19" t="s">
        <v>354</v>
      </c>
      <c r="F97" s="9" t="s">
        <v>355</v>
      </c>
      <c r="G97" s="9" t="s">
        <v>72</v>
      </c>
      <c r="I97" s="9" t="s">
        <v>296</v>
      </c>
      <c r="J97" s="9" t="s">
        <v>74</v>
      </c>
      <c r="K97" s="9" t="s">
        <v>297</v>
      </c>
      <c r="L97" s="10">
        <v>1</v>
      </c>
      <c r="M97" s="9" t="s">
        <v>76</v>
      </c>
      <c r="R97" s="9" t="s">
        <v>299</v>
      </c>
      <c r="S97" s="9" t="s">
        <v>74</v>
      </c>
      <c r="V97" s="10"/>
      <c r="Y97" s="10" t="s">
        <v>335</v>
      </c>
      <c r="Z97" s="9" t="s">
        <v>79</v>
      </c>
      <c r="AB97" s="10"/>
      <c r="AC97" s="10">
        <v>2018</v>
      </c>
      <c r="AD97" s="10" t="s">
        <v>301</v>
      </c>
      <c r="AE97" s="10">
        <v>7</v>
      </c>
      <c r="AF97" s="9" t="s">
        <v>336</v>
      </c>
      <c r="AG97" s="9" t="s">
        <v>356</v>
      </c>
      <c r="AI97" s="9" t="s">
        <v>80</v>
      </c>
      <c r="AK97" s="9" t="s">
        <v>303</v>
      </c>
      <c r="AL97" s="9" t="s">
        <v>338</v>
      </c>
      <c r="AM97" s="21" t="s">
        <v>339</v>
      </c>
      <c r="AN97" s="21"/>
      <c r="AP97" s="10"/>
      <c r="AQ97" s="10">
        <v>1484</v>
      </c>
      <c r="AR97" s="10"/>
      <c r="AS97" s="10"/>
      <c r="AT97" s="10"/>
      <c r="AU97" s="10"/>
      <c r="AV97" s="22">
        <v>17.49823</v>
      </c>
      <c r="AW97" s="22">
        <v>-97.348209999999995</v>
      </c>
      <c r="AX97" s="9" t="s">
        <v>72</v>
      </c>
      <c r="AY97" s="10">
        <v>2018</v>
      </c>
      <c r="BB97" s="19" t="s">
        <v>354</v>
      </c>
      <c r="BC97" s="9" t="s">
        <v>348</v>
      </c>
      <c r="BD97" s="9" t="s">
        <v>357</v>
      </c>
      <c r="BE97" s="12" t="s">
        <v>358</v>
      </c>
      <c r="BF97" s="12" t="s">
        <v>359</v>
      </c>
      <c r="BH97" s="9" t="s">
        <v>104</v>
      </c>
      <c r="BJ97" s="12"/>
    </row>
    <row r="98" spans="2:62" s="9" customFormat="1" x14ac:dyDescent="0.2">
      <c r="B98" s="10"/>
      <c r="E98" s="19" t="s">
        <v>354</v>
      </c>
      <c r="F98" s="9" t="s">
        <v>360</v>
      </c>
      <c r="G98" s="9" t="s">
        <v>72</v>
      </c>
      <c r="I98" s="9" t="s">
        <v>296</v>
      </c>
      <c r="J98" s="9" t="s">
        <v>74</v>
      </c>
      <c r="K98" s="9" t="s">
        <v>297</v>
      </c>
      <c r="L98" s="10">
        <v>1</v>
      </c>
      <c r="M98" s="9" t="s">
        <v>76</v>
      </c>
      <c r="R98" s="9" t="s">
        <v>299</v>
      </c>
      <c r="S98" s="9" t="s">
        <v>74</v>
      </c>
      <c r="V98" s="10"/>
      <c r="Y98" s="10" t="s">
        <v>335</v>
      </c>
      <c r="Z98" s="9" t="s">
        <v>79</v>
      </c>
      <c r="AB98" s="10"/>
      <c r="AC98" s="10">
        <v>2018</v>
      </c>
      <c r="AD98" s="10" t="s">
        <v>301</v>
      </c>
      <c r="AE98" s="10">
        <v>7</v>
      </c>
      <c r="AF98" s="9" t="s">
        <v>336</v>
      </c>
      <c r="AG98" s="9" t="s">
        <v>356</v>
      </c>
      <c r="AI98" s="9" t="s">
        <v>80</v>
      </c>
      <c r="AK98" s="9" t="s">
        <v>303</v>
      </c>
      <c r="AL98" s="9" t="s">
        <v>338</v>
      </c>
      <c r="AM98" s="21" t="s">
        <v>339</v>
      </c>
      <c r="AN98" s="21"/>
      <c r="AP98" s="10"/>
      <c r="AQ98" s="10">
        <v>1484</v>
      </c>
      <c r="AR98" s="10"/>
      <c r="AS98" s="10"/>
      <c r="AT98" s="10"/>
      <c r="AU98" s="10"/>
      <c r="AV98" s="22">
        <v>17.49823</v>
      </c>
      <c r="AW98" s="22">
        <v>-97.348209999999995</v>
      </c>
      <c r="AX98" s="9" t="s">
        <v>72</v>
      </c>
      <c r="AY98" s="10">
        <v>2018</v>
      </c>
      <c r="BB98" s="19" t="s">
        <v>354</v>
      </c>
      <c r="BC98" s="9" t="s">
        <v>348</v>
      </c>
      <c r="BD98" s="9" t="s">
        <v>357</v>
      </c>
      <c r="BE98" s="12" t="s">
        <v>358</v>
      </c>
      <c r="BF98" s="12" t="s">
        <v>359</v>
      </c>
      <c r="BH98" s="9" t="s">
        <v>104</v>
      </c>
      <c r="BJ98" s="12"/>
    </row>
    <row r="99" spans="2:62" s="24" customFormat="1" x14ac:dyDescent="0.2">
      <c r="B99" s="25"/>
      <c r="E99" s="23" t="s">
        <v>110</v>
      </c>
      <c r="F99" s="24" t="s">
        <v>361</v>
      </c>
      <c r="G99" s="24" t="s">
        <v>72</v>
      </c>
      <c r="I99" s="24" t="s">
        <v>296</v>
      </c>
      <c r="J99" s="24" t="s">
        <v>74</v>
      </c>
      <c r="K99" s="24" t="s">
        <v>297</v>
      </c>
      <c r="L99" s="25">
        <v>1</v>
      </c>
      <c r="M99" s="24" t="s">
        <v>76</v>
      </c>
      <c r="Q99" s="24" t="s">
        <v>362</v>
      </c>
      <c r="R99" s="24" t="s">
        <v>299</v>
      </c>
      <c r="S99" s="24" t="s">
        <v>74</v>
      </c>
      <c r="V99" s="25"/>
      <c r="Y99" s="25" t="s">
        <v>325</v>
      </c>
      <c r="Z99" s="24" t="s">
        <v>79</v>
      </c>
      <c r="AB99" s="25"/>
      <c r="AC99" s="25">
        <v>2018</v>
      </c>
      <c r="AD99" s="25" t="s">
        <v>363</v>
      </c>
      <c r="AE99" s="25">
        <v>8</v>
      </c>
      <c r="AF99" s="24" t="s">
        <v>364</v>
      </c>
      <c r="AG99" s="24" t="s">
        <v>327</v>
      </c>
      <c r="AI99" s="24" t="s">
        <v>80</v>
      </c>
      <c r="AK99" s="24" t="s">
        <v>303</v>
      </c>
      <c r="AL99" s="24" t="s">
        <v>338</v>
      </c>
      <c r="AM99" s="32" t="s">
        <v>339</v>
      </c>
      <c r="AN99" s="32">
        <v>180</v>
      </c>
      <c r="AP99" s="25"/>
      <c r="AQ99" s="25"/>
      <c r="AR99" s="25"/>
      <c r="AS99" s="25"/>
      <c r="AT99" s="25"/>
      <c r="AU99" s="25"/>
      <c r="AV99" s="33">
        <v>17.756799999999998</v>
      </c>
      <c r="AW99" s="33">
        <v>-97.806290000000004</v>
      </c>
      <c r="AY99" s="25"/>
      <c r="BB99" s="23" t="s">
        <v>321</v>
      </c>
      <c r="BC99" s="24" t="s">
        <v>85</v>
      </c>
      <c r="BD99" s="24" t="s">
        <v>109</v>
      </c>
      <c r="BE99" s="30" t="s">
        <v>110</v>
      </c>
      <c r="BF99" s="30"/>
      <c r="BH99" s="24" t="s">
        <v>104</v>
      </c>
      <c r="BJ99" s="30"/>
    </row>
    <row r="100" spans="2:62" s="34" customFormat="1" x14ac:dyDescent="0.2">
      <c r="B100" s="35"/>
      <c r="E100" s="42" t="s">
        <v>110</v>
      </c>
      <c r="F100" s="34" t="s">
        <v>365</v>
      </c>
      <c r="G100" s="34" t="s">
        <v>72</v>
      </c>
      <c r="I100" s="34" t="s">
        <v>296</v>
      </c>
      <c r="J100" s="34" t="s">
        <v>74</v>
      </c>
      <c r="K100" s="34" t="s">
        <v>297</v>
      </c>
      <c r="L100" s="35">
        <v>1</v>
      </c>
      <c r="M100" s="34" t="s">
        <v>76</v>
      </c>
      <c r="Q100" s="34" t="s">
        <v>362</v>
      </c>
      <c r="R100" s="34" t="s">
        <v>299</v>
      </c>
      <c r="S100" s="34" t="s">
        <v>74</v>
      </c>
      <c r="V100" s="35"/>
      <c r="Y100" s="35" t="s">
        <v>325</v>
      </c>
      <c r="Z100" s="34" t="s">
        <v>79</v>
      </c>
      <c r="AB100" s="35"/>
      <c r="AC100" s="35">
        <v>2018</v>
      </c>
      <c r="AD100" s="35" t="s">
        <v>363</v>
      </c>
      <c r="AE100" s="35">
        <v>8</v>
      </c>
      <c r="AF100" s="34" t="s">
        <v>364</v>
      </c>
      <c r="AG100" s="34" t="s">
        <v>327</v>
      </c>
      <c r="AI100" s="34" t="s">
        <v>80</v>
      </c>
      <c r="AK100" s="34" t="s">
        <v>303</v>
      </c>
      <c r="AL100" s="34" t="s">
        <v>338</v>
      </c>
      <c r="AM100" s="43" t="s">
        <v>339</v>
      </c>
      <c r="AN100" s="43"/>
      <c r="AP100" s="35"/>
      <c r="AQ100" s="35"/>
      <c r="AR100" s="35"/>
      <c r="AS100" s="35"/>
      <c r="AT100" s="35"/>
      <c r="AU100" s="35"/>
      <c r="AV100" s="44">
        <v>17.756799999999998</v>
      </c>
      <c r="AW100" s="44">
        <v>-97.806290000000004</v>
      </c>
      <c r="AY100" s="35"/>
      <c r="BB100" s="42" t="s">
        <v>321</v>
      </c>
      <c r="BC100" s="34" t="s">
        <v>85</v>
      </c>
      <c r="BD100" s="34" t="s">
        <v>109</v>
      </c>
      <c r="BE100" s="41" t="s">
        <v>110</v>
      </c>
      <c r="BF100" s="41"/>
      <c r="BH100" s="34" t="s">
        <v>104</v>
      </c>
      <c r="BJ100" s="41"/>
    </row>
    <row r="101" spans="2:62" s="34" customFormat="1" x14ac:dyDescent="0.2">
      <c r="B101" s="35"/>
      <c r="E101" s="42" t="s">
        <v>110</v>
      </c>
      <c r="F101" s="34" t="s">
        <v>366</v>
      </c>
      <c r="G101" s="34" t="s">
        <v>72</v>
      </c>
      <c r="I101" s="34" t="s">
        <v>296</v>
      </c>
      <c r="J101" s="34" t="s">
        <v>74</v>
      </c>
      <c r="K101" s="34" t="s">
        <v>297</v>
      </c>
      <c r="L101" s="35">
        <v>1</v>
      </c>
      <c r="M101" s="34" t="s">
        <v>76</v>
      </c>
      <c r="Q101" s="34" t="s">
        <v>362</v>
      </c>
      <c r="R101" s="34" t="s">
        <v>299</v>
      </c>
      <c r="S101" s="34" t="s">
        <v>74</v>
      </c>
      <c r="V101" s="35"/>
      <c r="Y101" s="35" t="s">
        <v>325</v>
      </c>
      <c r="Z101" s="34" t="s">
        <v>79</v>
      </c>
      <c r="AB101" s="35"/>
      <c r="AC101" s="35">
        <v>2018</v>
      </c>
      <c r="AD101" s="35" t="s">
        <v>363</v>
      </c>
      <c r="AE101" s="35">
        <v>8</v>
      </c>
      <c r="AF101" s="34" t="s">
        <v>364</v>
      </c>
      <c r="AG101" s="34" t="s">
        <v>327</v>
      </c>
      <c r="AI101" s="34" t="s">
        <v>80</v>
      </c>
      <c r="AK101" s="34" t="s">
        <v>303</v>
      </c>
      <c r="AL101" s="34" t="s">
        <v>338</v>
      </c>
      <c r="AM101" s="43" t="s">
        <v>339</v>
      </c>
      <c r="AN101" s="43"/>
      <c r="AP101" s="35"/>
      <c r="AQ101" s="35"/>
      <c r="AR101" s="35"/>
      <c r="AS101" s="35"/>
      <c r="AT101" s="35"/>
      <c r="AU101" s="35"/>
      <c r="AV101" s="44">
        <v>17.756799999999998</v>
      </c>
      <c r="AW101" s="44">
        <v>-97.806290000000004</v>
      </c>
      <c r="AY101" s="35"/>
      <c r="BB101" s="42" t="s">
        <v>321</v>
      </c>
      <c r="BC101" s="34" t="s">
        <v>85</v>
      </c>
      <c r="BD101" s="34" t="s">
        <v>109</v>
      </c>
      <c r="BE101" s="41" t="s">
        <v>110</v>
      </c>
      <c r="BF101" s="41"/>
      <c r="BH101" s="34" t="s">
        <v>104</v>
      </c>
      <c r="BJ101" s="41"/>
    </row>
    <row r="102" spans="2:62" s="24" customFormat="1" x14ac:dyDescent="0.2">
      <c r="B102" s="25"/>
      <c r="E102" s="23" t="s">
        <v>110</v>
      </c>
      <c r="F102" s="24" t="s">
        <v>367</v>
      </c>
      <c r="G102" s="24" t="s">
        <v>72</v>
      </c>
      <c r="I102" s="24" t="s">
        <v>296</v>
      </c>
      <c r="J102" s="24" t="s">
        <v>74</v>
      </c>
      <c r="K102" s="24" t="s">
        <v>297</v>
      </c>
      <c r="L102" s="25">
        <v>1</v>
      </c>
      <c r="M102" s="24" t="s">
        <v>76</v>
      </c>
      <c r="Q102" s="24" t="s">
        <v>362</v>
      </c>
      <c r="R102" s="24" t="s">
        <v>299</v>
      </c>
      <c r="S102" s="24" t="s">
        <v>74</v>
      </c>
      <c r="V102" s="25"/>
      <c r="Y102" s="25" t="s">
        <v>325</v>
      </c>
      <c r="Z102" s="24" t="s">
        <v>79</v>
      </c>
      <c r="AB102" s="25"/>
      <c r="AC102" s="25">
        <v>2018</v>
      </c>
      <c r="AD102" s="25" t="s">
        <v>363</v>
      </c>
      <c r="AE102" s="25">
        <v>8</v>
      </c>
      <c r="AF102" s="24" t="s">
        <v>364</v>
      </c>
      <c r="AG102" s="24" t="s">
        <v>327</v>
      </c>
      <c r="AI102" s="24" t="s">
        <v>80</v>
      </c>
      <c r="AK102" s="24" t="s">
        <v>303</v>
      </c>
      <c r="AL102" s="24" t="s">
        <v>338</v>
      </c>
      <c r="AM102" s="32" t="s">
        <v>339</v>
      </c>
      <c r="AN102" s="32"/>
      <c r="AP102" s="25"/>
      <c r="AQ102" s="25"/>
      <c r="AR102" s="25"/>
      <c r="AS102" s="25"/>
      <c r="AT102" s="25"/>
      <c r="AU102" s="25"/>
      <c r="AV102" s="33">
        <v>17.756799999999998</v>
      </c>
      <c r="AW102" s="33">
        <v>-97.806290000000004</v>
      </c>
      <c r="AY102" s="25"/>
      <c r="BB102" s="23" t="s">
        <v>321</v>
      </c>
      <c r="BC102" s="24" t="s">
        <v>85</v>
      </c>
      <c r="BD102" s="24" t="s">
        <v>109</v>
      </c>
      <c r="BE102" s="30" t="s">
        <v>110</v>
      </c>
      <c r="BF102" s="30"/>
      <c r="BH102" s="24" t="s">
        <v>104</v>
      </c>
      <c r="BJ102" s="30"/>
    </row>
    <row r="103" spans="2:62" s="24" customFormat="1" x14ac:dyDescent="0.2">
      <c r="B103" s="25"/>
      <c r="E103" s="23" t="s">
        <v>110</v>
      </c>
      <c r="F103" s="24" t="s">
        <v>368</v>
      </c>
      <c r="G103" s="24" t="s">
        <v>72</v>
      </c>
      <c r="I103" s="24" t="s">
        <v>296</v>
      </c>
      <c r="J103" s="24" t="s">
        <v>74</v>
      </c>
      <c r="K103" s="24" t="s">
        <v>297</v>
      </c>
      <c r="L103" s="25">
        <v>1</v>
      </c>
      <c r="M103" s="24" t="s">
        <v>76</v>
      </c>
      <c r="Q103" s="24" t="s">
        <v>362</v>
      </c>
      <c r="R103" s="24" t="s">
        <v>299</v>
      </c>
      <c r="S103" s="24" t="s">
        <v>74</v>
      </c>
      <c r="V103" s="25"/>
      <c r="Y103" s="25" t="s">
        <v>325</v>
      </c>
      <c r="Z103" s="24" t="s">
        <v>79</v>
      </c>
      <c r="AB103" s="25"/>
      <c r="AC103" s="25">
        <v>2018</v>
      </c>
      <c r="AD103" s="25" t="s">
        <v>363</v>
      </c>
      <c r="AE103" s="25">
        <v>8</v>
      </c>
      <c r="AF103" s="24" t="s">
        <v>364</v>
      </c>
      <c r="AG103" s="24" t="s">
        <v>327</v>
      </c>
      <c r="AI103" s="24" t="s">
        <v>80</v>
      </c>
      <c r="AK103" s="24" t="s">
        <v>303</v>
      </c>
      <c r="AL103" s="24" t="s">
        <v>338</v>
      </c>
      <c r="AM103" s="32" t="s">
        <v>339</v>
      </c>
      <c r="AN103" s="32"/>
      <c r="AP103" s="25"/>
      <c r="AQ103" s="25"/>
      <c r="AR103" s="25"/>
      <c r="AS103" s="25"/>
      <c r="AT103" s="25"/>
      <c r="AU103" s="25"/>
      <c r="AV103" s="33">
        <v>17.756799999999998</v>
      </c>
      <c r="AW103" s="33">
        <v>-97.806290000000004</v>
      </c>
      <c r="AY103" s="25"/>
      <c r="BB103" s="23" t="s">
        <v>321</v>
      </c>
      <c r="BC103" s="24" t="s">
        <v>85</v>
      </c>
      <c r="BD103" s="24" t="s">
        <v>109</v>
      </c>
      <c r="BE103" s="30" t="s">
        <v>110</v>
      </c>
      <c r="BF103" s="30"/>
      <c r="BH103" s="24" t="s">
        <v>104</v>
      </c>
      <c r="BJ103" s="30"/>
    </row>
    <row r="104" spans="2:62" s="24" customFormat="1" x14ac:dyDescent="0.2">
      <c r="B104" s="25"/>
      <c r="E104" s="23" t="s">
        <v>110</v>
      </c>
      <c r="F104" s="24" t="s">
        <v>369</v>
      </c>
      <c r="G104" s="24" t="s">
        <v>72</v>
      </c>
      <c r="I104" s="24" t="s">
        <v>296</v>
      </c>
      <c r="J104" s="24" t="s">
        <v>74</v>
      </c>
      <c r="K104" s="24" t="s">
        <v>297</v>
      </c>
      <c r="L104" s="25">
        <v>1</v>
      </c>
      <c r="M104" s="24" t="s">
        <v>76</v>
      </c>
      <c r="Q104" s="24" t="s">
        <v>362</v>
      </c>
      <c r="R104" s="24" t="s">
        <v>299</v>
      </c>
      <c r="S104" s="24" t="s">
        <v>74</v>
      </c>
      <c r="V104" s="25"/>
      <c r="Y104" s="25" t="s">
        <v>325</v>
      </c>
      <c r="Z104" s="24" t="s">
        <v>79</v>
      </c>
      <c r="AB104" s="25"/>
      <c r="AC104" s="25">
        <v>2018</v>
      </c>
      <c r="AD104" s="25" t="s">
        <v>363</v>
      </c>
      <c r="AE104" s="25">
        <v>8</v>
      </c>
      <c r="AF104" s="24" t="s">
        <v>364</v>
      </c>
      <c r="AG104" s="24" t="s">
        <v>327</v>
      </c>
      <c r="AI104" s="24" t="s">
        <v>80</v>
      </c>
      <c r="AK104" s="24" t="s">
        <v>303</v>
      </c>
      <c r="AL104" s="24" t="s">
        <v>338</v>
      </c>
      <c r="AM104" s="32" t="s">
        <v>339</v>
      </c>
      <c r="AN104" s="32"/>
      <c r="AP104" s="25"/>
      <c r="AQ104" s="25"/>
      <c r="AR104" s="25"/>
      <c r="AS104" s="25"/>
      <c r="AT104" s="25"/>
      <c r="AU104" s="25"/>
      <c r="AV104" s="33">
        <v>17.756799999999998</v>
      </c>
      <c r="AW104" s="33">
        <v>-97.806290000000004</v>
      </c>
      <c r="AY104" s="25"/>
      <c r="BB104" s="23" t="s">
        <v>321</v>
      </c>
      <c r="BC104" s="24" t="s">
        <v>85</v>
      </c>
      <c r="BD104" s="24" t="s">
        <v>109</v>
      </c>
      <c r="BE104" s="30" t="s">
        <v>110</v>
      </c>
      <c r="BF104" s="30"/>
      <c r="BH104" s="24" t="s">
        <v>104</v>
      </c>
      <c r="BJ104" s="30"/>
    </row>
    <row r="105" spans="2:62" s="24" customFormat="1" x14ac:dyDescent="0.2">
      <c r="B105" s="25"/>
      <c r="E105" s="23" t="s">
        <v>110</v>
      </c>
      <c r="F105" s="24" t="s">
        <v>370</v>
      </c>
      <c r="G105" s="24" t="s">
        <v>72</v>
      </c>
      <c r="I105" s="24" t="s">
        <v>296</v>
      </c>
      <c r="J105" s="24" t="s">
        <v>74</v>
      </c>
      <c r="K105" s="24" t="s">
        <v>297</v>
      </c>
      <c r="L105" s="25">
        <v>1</v>
      </c>
      <c r="M105" s="24" t="s">
        <v>76</v>
      </c>
      <c r="Q105" s="24" t="s">
        <v>362</v>
      </c>
      <c r="R105" s="24" t="s">
        <v>299</v>
      </c>
      <c r="S105" s="24" t="s">
        <v>74</v>
      </c>
      <c r="V105" s="25"/>
      <c r="Y105" s="25" t="s">
        <v>325</v>
      </c>
      <c r="Z105" s="24" t="s">
        <v>79</v>
      </c>
      <c r="AB105" s="25"/>
      <c r="AC105" s="25">
        <v>2018</v>
      </c>
      <c r="AD105" s="25" t="s">
        <v>363</v>
      </c>
      <c r="AE105" s="25">
        <v>8</v>
      </c>
      <c r="AF105" s="24" t="s">
        <v>364</v>
      </c>
      <c r="AG105" s="24" t="s">
        <v>327</v>
      </c>
      <c r="AI105" s="24" t="s">
        <v>80</v>
      </c>
      <c r="AK105" s="24" t="s">
        <v>303</v>
      </c>
      <c r="AL105" s="24" t="s">
        <v>338</v>
      </c>
      <c r="AM105" s="32" t="s">
        <v>339</v>
      </c>
      <c r="AN105" s="32"/>
      <c r="AP105" s="25"/>
      <c r="AQ105" s="25"/>
      <c r="AR105" s="25"/>
      <c r="AS105" s="25"/>
      <c r="AT105" s="25"/>
      <c r="AU105" s="25"/>
      <c r="AV105" s="33">
        <v>17.756799999999998</v>
      </c>
      <c r="AW105" s="33">
        <v>-97.806290000000004</v>
      </c>
      <c r="AY105" s="25"/>
      <c r="BB105" s="23" t="s">
        <v>321</v>
      </c>
      <c r="BC105" s="24" t="s">
        <v>85</v>
      </c>
      <c r="BD105" s="24" t="s">
        <v>109</v>
      </c>
      <c r="BE105" s="30" t="s">
        <v>110</v>
      </c>
      <c r="BF105" s="30"/>
      <c r="BH105" s="24" t="s">
        <v>104</v>
      </c>
      <c r="BJ105" s="30"/>
    </row>
    <row r="106" spans="2:62" s="24" customFormat="1" x14ac:dyDescent="0.2">
      <c r="B106" s="25"/>
      <c r="E106" s="23" t="s">
        <v>110</v>
      </c>
      <c r="F106" s="24" t="s">
        <v>371</v>
      </c>
      <c r="G106" s="24" t="s">
        <v>72</v>
      </c>
      <c r="I106" s="24" t="s">
        <v>296</v>
      </c>
      <c r="J106" s="24" t="s">
        <v>74</v>
      </c>
      <c r="K106" s="24" t="s">
        <v>297</v>
      </c>
      <c r="L106" s="25">
        <v>1</v>
      </c>
      <c r="M106" s="24" t="s">
        <v>76</v>
      </c>
      <c r="Q106" s="24" t="s">
        <v>362</v>
      </c>
      <c r="R106" s="24" t="s">
        <v>299</v>
      </c>
      <c r="S106" s="24" t="s">
        <v>74</v>
      </c>
      <c r="V106" s="25"/>
      <c r="Y106" s="25" t="s">
        <v>325</v>
      </c>
      <c r="Z106" s="24" t="s">
        <v>79</v>
      </c>
      <c r="AB106" s="25"/>
      <c r="AC106" s="25">
        <v>2018</v>
      </c>
      <c r="AD106" s="25" t="s">
        <v>363</v>
      </c>
      <c r="AE106" s="25">
        <v>8</v>
      </c>
      <c r="AF106" s="24" t="s">
        <v>364</v>
      </c>
      <c r="AG106" s="24" t="s">
        <v>327</v>
      </c>
      <c r="AI106" s="24" t="s">
        <v>80</v>
      </c>
      <c r="AK106" s="24" t="s">
        <v>303</v>
      </c>
      <c r="AL106" s="24" t="s">
        <v>338</v>
      </c>
      <c r="AM106" s="32" t="s">
        <v>339</v>
      </c>
      <c r="AN106" s="32"/>
      <c r="AP106" s="25"/>
      <c r="AQ106" s="25"/>
      <c r="AR106" s="25"/>
      <c r="AS106" s="25"/>
      <c r="AT106" s="25"/>
      <c r="AU106" s="25"/>
      <c r="AV106" s="33">
        <v>17.756799999999998</v>
      </c>
      <c r="AW106" s="33">
        <v>-97.806290000000004</v>
      </c>
      <c r="AY106" s="25"/>
      <c r="BB106" s="23" t="s">
        <v>321</v>
      </c>
      <c r="BC106" s="24" t="s">
        <v>85</v>
      </c>
      <c r="BD106" s="24" t="s">
        <v>109</v>
      </c>
      <c r="BE106" s="30" t="s">
        <v>110</v>
      </c>
      <c r="BF106" s="30"/>
      <c r="BH106" s="24" t="s">
        <v>104</v>
      </c>
      <c r="BJ106" s="30"/>
    </row>
    <row r="107" spans="2:62" s="24" customFormat="1" x14ac:dyDescent="0.2">
      <c r="B107" s="25"/>
      <c r="E107" s="23" t="s">
        <v>110</v>
      </c>
      <c r="F107" s="24" t="s">
        <v>372</v>
      </c>
      <c r="G107" s="24" t="s">
        <v>72</v>
      </c>
      <c r="I107" s="24" t="s">
        <v>296</v>
      </c>
      <c r="J107" s="24" t="s">
        <v>74</v>
      </c>
      <c r="K107" s="24" t="s">
        <v>297</v>
      </c>
      <c r="L107" s="25">
        <v>1</v>
      </c>
      <c r="M107" s="24" t="s">
        <v>76</v>
      </c>
      <c r="Q107" s="24" t="s">
        <v>362</v>
      </c>
      <c r="R107" s="24" t="s">
        <v>299</v>
      </c>
      <c r="S107" s="24" t="s">
        <v>74</v>
      </c>
      <c r="V107" s="25"/>
      <c r="Y107" s="25" t="s">
        <v>325</v>
      </c>
      <c r="Z107" s="24" t="s">
        <v>79</v>
      </c>
      <c r="AB107" s="25"/>
      <c r="AC107" s="25">
        <v>2018</v>
      </c>
      <c r="AD107" s="25" t="s">
        <v>363</v>
      </c>
      <c r="AE107" s="25">
        <v>8</v>
      </c>
      <c r="AF107" s="24" t="s">
        <v>364</v>
      </c>
      <c r="AG107" s="24" t="s">
        <v>327</v>
      </c>
      <c r="AI107" s="24" t="s">
        <v>80</v>
      </c>
      <c r="AK107" s="24" t="s">
        <v>303</v>
      </c>
      <c r="AL107" s="24" t="s">
        <v>338</v>
      </c>
      <c r="AM107" s="32" t="s">
        <v>339</v>
      </c>
      <c r="AN107" s="32"/>
      <c r="AP107" s="25"/>
      <c r="AQ107" s="25"/>
      <c r="AR107" s="25"/>
      <c r="AS107" s="25"/>
      <c r="AT107" s="25"/>
      <c r="AU107" s="25"/>
      <c r="AV107" s="33">
        <v>17.756799999999998</v>
      </c>
      <c r="AW107" s="33">
        <v>-97.806290000000004</v>
      </c>
      <c r="AY107" s="25"/>
      <c r="BB107" s="23" t="s">
        <v>321</v>
      </c>
      <c r="BC107" s="24" t="s">
        <v>85</v>
      </c>
      <c r="BD107" s="24" t="s">
        <v>109</v>
      </c>
      <c r="BE107" s="30" t="s">
        <v>110</v>
      </c>
      <c r="BF107" s="30"/>
      <c r="BH107" s="24" t="s">
        <v>104</v>
      </c>
      <c r="BJ107" s="30"/>
    </row>
    <row r="108" spans="2:62" s="34" customFormat="1" x14ac:dyDescent="0.2">
      <c r="B108" s="35"/>
      <c r="E108" s="42" t="s">
        <v>373</v>
      </c>
      <c r="F108" s="34" t="s">
        <v>374</v>
      </c>
      <c r="G108" s="34" t="s">
        <v>72</v>
      </c>
      <c r="I108" s="34" t="s">
        <v>296</v>
      </c>
      <c r="J108" s="34" t="s">
        <v>74</v>
      </c>
      <c r="K108" s="34" t="s">
        <v>297</v>
      </c>
      <c r="L108" s="35">
        <v>1</v>
      </c>
      <c r="M108" s="34" t="s">
        <v>76</v>
      </c>
      <c r="Q108" s="34" t="s">
        <v>362</v>
      </c>
      <c r="R108" s="34" t="s">
        <v>299</v>
      </c>
      <c r="S108" s="34" t="s">
        <v>74</v>
      </c>
      <c r="V108" s="35"/>
      <c r="Y108" s="35" t="s">
        <v>325</v>
      </c>
      <c r="Z108" s="34" t="s">
        <v>79</v>
      </c>
      <c r="AB108" s="35"/>
      <c r="AC108" s="35">
        <v>2018</v>
      </c>
      <c r="AD108" s="35" t="s">
        <v>363</v>
      </c>
      <c r="AE108" s="35">
        <v>8</v>
      </c>
      <c r="AF108" s="34" t="s">
        <v>364</v>
      </c>
      <c r="AG108" s="34" t="s">
        <v>327</v>
      </c>
      <c r="AI108" s="34" t="s">
        <v>80</v>
      </c>
      <c r="AK108" s="34" t="s">
        <v>303</v>
      </c>
      <c r="AL108" s="34" t="s">
        <v>338</v>
      </c>
      <c r="AM108" s="43" t="s">
        <v>339</v>
      </c>
      <c r="AN108" s="43"/>
      <c r="AP108" s="35"/>
      <c r="AQ108" s="35"/>
      <c r="AR108" s="35"/>
      <c r="AS108" s="35"/>
      <c r="AT108" s="35"/>
      <c r="AU108" s="35"/>
      <c r="AV108" s="44">
        <v>17.756799999999998</v>
      </c>
      <c r="AW108" s="44">
        <v>-97.806290000000004</v>
      </c>
      <c r="AY108" s="35"/>
      <c r="BB108" s="42" t="s">
        <v>321</v>
      </c>
      <c r="BC108" s="34" t="s">
        <v>85</v>
      </c>
      <c r="BD108" s="34" t="s">
        <v>109</v>
      </c>
      <c r="BE108" s="41" t="s">
        <v>110</v>
      </c>
      <c r="BF108" s="41"/>
      <c r="BH108" s="34" t="s">
        <v>104</v>
      </c>
      <c r="BJ108" s="41"/>
    </row>
    <row r="109" spans="2:62" s="9" customFormat="1" x14ac:dyDescent="0.2">
      <c r="B109" s="10"/>
      <c r="E109" s="19" t="s">
        <v>332</v>
      </c>
      <c r="F109" s="9" t="s">
        <v>375</v>
      </c>
      <c r="G109" s="9" t="s">
        <v>72</v>
      </c>
      <c r="I109" s="9" t="s">
        <v>296</v>
      </c>
      <c r="J109" s="9" t="s">
        <v>74</v>
      </c>
      <c r="K109" s="9" t="s">
        <v>297</v>
      </c>
      <c r="L109" s="10">
        <v>1</v>
      </c>
      <c r="M109" s="9" t="s">
        <v>76</v>
      </c>
      <c r="N109" s="9" t="s">
        <v>113</v>
      </c>
      <c r="O109" s="9" t="s">
        <v>309</v>
      </c>
      <c r="Q109" s="9" t="s">
        <v>376</v>
      </c>
      <c r="R109" s="9" t="s">
        <v>299</v>
      </c>
      <c r="S109" s="9" t="s">
        <v>74</v>
      </c>
      <c r="V109" s="10"/>
      <c r="Y109" s="10" t="s">
        <v>335</v>
      </c>
      <c r="Z109" s="9" t="s">
        <v>79</v>
      </c>
      <c r="AB109" s="10"/>
      <c r="AC109" s="10">
        <v>2018</v>
      </c>
      <c r="AD109" s="10" t="s">
        <v>363</v>
      </c>
      <c r="AE109" s="10">
        <v>8</v>
      </c>
      <c r="AF109" s="9" t="s">
        <v>364</v>
      </c>
      <c r="AG109" s="9" t="s">
        <v>377</v>
      </c>
      <c r="AI109" s="9" t="s">
        <v>80</v>
      </c>
      <c r="AK109" s="9" t="s">
        <v>303</v>
      </c>
      <c r="AL109" s="9" t="s">
        <v>338</v>
      </c>
      <c r="AM109" s="21" t="s">
        <v>339</v>
      </c>
      <c r="AN109" s="21"/>
      <c r="AP109" s="10"/>
      <c r="AQ109" s="10"/>
      <c r="AR109" s="10"/>
      <c r="AS109" s="10"/>
      <c r="AT109" s="10"/>
      <c r="AU109" s="10"/>
      <c r="AV109" s="22">
        <v>17.756799999999998</v>
      </c>
      <c r="AW109" s="22">
        <v>-97.806290000000004</v>
      </c>
      <c r="AY109" s="10"/>
      <c r="BB109" s="19" t="s">
        <v>332</v>
      </c>
      <c r="BC109" s="9" t="s">
        <v>85</v>
      </c>
      <c r="BD109" s="9" t="s">
        <v>86</v>
      </c>
      <c r="BE109" s="12" t="s">
        <v>87</v>
      </c>
      <c r="BF109" s="12" t="s">
        <v>340</v>
      </c>
      <c r="BH109" s="9" t="s">
        <v>104</v>
      </c>
      <c r="BJ109" s="12"/>
    </row>
    <row r="110" spans="2:62" s="24" customFormat="1" x14ac:dyDescent="0.2">
      <c r="B110" s="25"/>
      <c r="E110" s="23" t="s">
        <v>378</v>
      </c>
      <c r="F110" s="24" t="s">
        <v>379</v>
      </c>
      <c r="G110" s="24" t="s">
        <v>72</v>
      </c>
      <c r="I110" s="24" t="s">
        <v>296</v>
      </c>
      <c r="J110" s="24" t="s">
        <v>74</v>
      </c>
      <c r="K110" s="24" t="s">
        <v>297</v>
      </c>
      <c r="L110" s="25">
        <v>1</v>
      </c>
      <c r="M110" s="24" t="s">
        <v>76</v>
      </c>
      <c r="O110" s="24" t="s">
        <v>152</v>
      </c>
      <c r="Q110" s="24" t="s">
        <v>380</v>
      </c>
      <c r="R110" s="24" t="s">
        <v>299</v>
      </c>
      <c r="S110" s="24" t="s">
        <v>74</v>
      </c>
      <c r="V110" s="25"/>
      <c r="Y110" s="25" t="s">
        <v>325</v>
      </c>
      <c r="Z110" s="24" t="s">
        <v>79</v>
      </c>
      <c r="AB110" s="25"/>
      <c r="AC110" s="25">
        <v>2018</v>
      </c>
      <c r="AD110" s="25" t="s">
        <v>363</v>
      </c>
      <c r="AE110" s="25">
        <v>8</v>
      </c>
      <c r="AF110" s="24" t="s">
        <v>364</v>
      </c>
      <c r="AG110" s="24" t="s">
        <v>327</v>
      </c>
      <c r="AI110" s="24" t="s">
        <v>80</v>
      </c>
      <c r="AK110" s="24" t="s">
        <v>303</v>
      </c>
      <c r="AL110" s="24" t="s">
        <v>381</v>
      </c>
      <c r="AM110" s="32" t="s">
        <v>382</v>
      </c>
      <c r="AN110" s="32"/>
      <c r="AO110" s="24">
        <v>2119</v>
      </c>
      <c r="AP110" s="25"/>
      <c r="AQ110" s="25"/>
      <c r="AR110" s="25"/>
      <c r="AS110" s="25"/>
      <c r="AT110" s="25"/>
      <c r="AU110" s="25"/>
      <c r="AV110" s="33">
        <v>17.458909999999999</v>
      </c>
      <c r="AW110" s="33">
        <v>-97.573580000000007</v>
      </c>
      <c r="AY110" s="25"/>
      <c r="BB110" s="23" t="s">
        <v>321</v>
      </c>
      <c r="BC110" s="24" t="s">
        <v>85</v>
      </c>
      <c r="BD110" s="24" t="s">
        <v>109</v>
      </c>
      <c r="BE110" s="30" t="s">
        <v>110</v>
      </c>
      <c r="BF110" s="30" t="s">
        <v>328</v>
      </c>
      <c r="BH110" s="24" t="s">
        <v>104</v>
      </c>
      <c r="BJ110" s="30"/>
    </row>
    <row r="111" spans="2:62" s="24" customFormat="1" x14ac:dyDescent="0.2">
      <c r="B111" s="25"/>
      <c r="E111" s="23" t="s">
        <v>378</v>
      </c>
      <c r="F111" s="24" t="s">
        <v>383</v>
      </c>
      <c r="G111" s="24" t="s">
        <v>72</v>
      </c>
      <c r="I111" s="24" t="s">
        <v>72</v>
      </c>
      <c r="J111" s="24" t="s">
        <v>74</v>
      </c>
      <c r="K111" s="24" t="s">
        <v>297</v>
      </c>
      <c r="L111" s="25">
        <v>1</v>
      </c>
      <c r="M111" s="24" t="s">
        <v>76</v>
      </c>
      <c r="O111" s="24" t="s">
        <v>152</v>
      </c>
      <c r="Q111" s="24" t="s">
        <v>380</v>
      </c>
      <c r="R111" s="24" t="s">
        <v>299</v>
      </c>
      <c r="S111" s="24" t="s">
        <v>74</v>
      </c>
      <c r="V111" s="25"/>
      <c r="Y111" s="25" t="s">
        <v>325</v>
      </c>
      <c r="Z111" s="24" t="s">
        <v>79</v>
      </c>
      <c r="AB111" s="25"/>
      <c r="AC111" s="25">
        <v>2018</v>
      </c>
      <c r="AD111" s="25" t="s">
        <v>363</v>
      </c>
      <c r="AE111" s="25">
        <v>9</v>
      </c>
      <c r="AF111" s="24" t="s">
        <v>364</v>
      </c>
      <c r="AG111" s="24" t="s">
        <v>327</v>
      </c>
      <c r="AI111" s="24" t="s">
        <v>80</v>
      </c>
      <c r="AK111" s="24" t="s">
        <v>303</v>
      </c>
      <c r="AL111" s="24" t="s">
        <v>381</v>
      </c>
      <c r="AM111" s="32" t="s">
        <v>382</v>
      </c>
      <c r="AN111" s="32"/>
      <c r="AO111" s="24">
        <v>2119</v>
      </c>
      <c r="AP111" s="25"/>
      <c r="AQ111" s="25"/>
      <c r="AR111" s="25"/>
      <c r="AS111" s="25"/>
      <c r="AT111" s="25"/>
      <c r="AU111" s="25"/>
      <c r="AV111" s="33">
        <v>17.458909999999999</v>
      </c>
      <c r="AW111" s="33">
        <v>-97.573580000000007</v>
      </c>
      <c r="AY111" s="25"/>
      <c r="BB111" s="23" t="s">
        <v>321</v>
      </c>
      <c r="BC111" s="24" t="s">
        <v>85</v>
      </c>
      <c r="BD111" s="24" t="s">
        <v>109</v>
      </c>
      <c r="BE111" s="30" t="s">
        <v>110</v>
      </c>
      <c r="BF111" s="30" t="s">
        <v>328</v>
      </c>
      <c r="BH111" s="24" t="s">
        <v>104</v>
      </c>
      <c r="BJ111" s="30"/>
    </row>
    <row r="112" spans="2:62" s="34" customFormat="1" x14ac:dyDescent="0.2">
      <c r="B112" s="35"/>
      <c r="E112" s="42" t="s">
        <v>378</v>
      </c>
      <c r="F112" s="34" t="s">
        <v>384</v>
      </c>
      <c r="G112" s="34" t="s">
        <v>72</v>
      </c>
      <c r="I112" s="34" t="s">
        <v>72</v>
      </c>
      <c r="J112" s="34" t="s">
        <v>74</v>
      </c>
      <c r="K112" s="34" t="s">
        <v>297</v>
      </c>
      <c r="L112" s="35">
        <v>1</v>
      </c>
      <c r="M112" s="34" t="s">
        <v>76</v>
      </c>
      <c r="O112" s="34" t="s">
        <v>152</v>
      </c>
      <c r="Q112" s="34" t="s">
        <v>362</v>
      </c>
      <c r="R112" s="34" t="s">
        <v>299</v>
      </c>
      <c r="S112" s="34" t="s">
        <v>74</v>
      </c>
      <c r="V112" s="35"/>
      <c r="Y112" s="35" t="s">
        <v>325</v>
      </c>
      <c r="Z112" s="34" t="s">
        <v>79</v>
      </c>
      <c r="AB112" s="35"/>
      <c r="AC112" s="35">
        <v>2018</v>
      </c>
      <c r="AD112" s="35" t="s">
        <v>363</v>
      </c>
      <c r="AE112" s="35">
        <v>9</v>
      </c>
      <c r="AF112" s="34" t="s">
        <v>364</v>
      </c>
      <c r="AG112" s="34" t="s">
        <v>327</v>
      </c>
      <c r="AI112" s="34" t="s">
        <v>80</v>
      </c>
      <c r="AK112" s="34" t="s">
        <v>303</v>
      </c>
      <c r="AL112" s="34" t="s">
        <v>381</v>
      </c>
      <c r="AM112" s="43" t="s">
        <v>382</v>
      </c>
      <c r="AN112" s="43"/>
      <c r="AO112" s="34">
        <v>2119</v>
      </c>
      <c r="AP112" s="35"/>
      <c r="AQ112" s="35"/>
      <c r="AR112" s="35"/>
      <c r="AS112" s="35"/>
      <c r="AT112" s="35"/>
      <c r="AU112" s="35"/>
      <c r="AV112" s="44">
        <v>17.458909999999999</v>
      </c>
      <c r="AW112" s="44">
        <v>-97.573580000000007</v>
      </c>
      <c r="AY112" s="35"/>
      <c r="BB112" s="42" t="s">
        <v>321</v>
      </c>
      <c r="BC112" s="34" t="s">
        <v>85</v>
      </c>
      <c r="BD112" s="34" t="s">
        <v>109</v>
      </c>
      <c r="BE112" s="41" t="s">
        <v>110</v>
      </c>
      <c r="BF112" s="41" t="s">
        <v>328</v>
      </c>
      <c r="BH112" s="34" t="s">
        <v>104</v>
      </c>
      <c r="BJ112" s="41"/>
    </row>
    <row r="113" spans="2:62" s="9" customFormat="1" x14ac:dyDescent="0.2">
      <c r="B113" s="10"/>
      <c r="E113" s="19" t="s">
        <v>345</v>
      </c>
      <c r="F113" s="9" t="s">
        <v>385</v>
      </c>
      <c r="G113" s="9" t="s">
        <v>72</v>
      </c>
      <c r="I113" s="9" t="s">
        <v>72</v>
      </c>
      <c r="J113" s="9" t="s">
        <v>74</v>
      </c>
      <c r="K113" s="9" t="s">
        <v>297</v>
      </c>
      <c r="L113" s="10">
        <v>1</v>
      </c>
      <c r="M113" s="9" t="s">
        <v>76</v>
      </c>
      <c r="N113" s="9" t="s">
        <v>113</v>
      </c>
      <c r="O113" s="9" t="s">
        <v>309</v>
      </c>
      <c r="Q113" s="9" t="s">
        <v>347</v>
      </c>
      <c r="R113" s="9" t="s">
        <v>299</v>
      </c>
      <c r="S113" s="9" t="s">
        <v>74</v>
      </c>
      <c r="V113" s="10"/>
      <c r="Y113" s="10" t="s">
        <v>335</v>
      </c>
      <c r="Z113" s="9" t="s">
        <v>79</v>
      </c>
      <c r="AB113" s="10"/>
      <c r="AC113" s="10">
        <v>2018</v>
      </c>
      <c r="AD113" s="10" t="s">
        <v>363</v>
      </c>
      <c r="AE113" s="10">
        <v>9</v>
      </c>
      <c r="AF113" s="9" t="s">
        <v>364</v>
      </c>
      <c r="AG113" s="9" t="s">
        <v>315</v>
      </c>
      <c r="AI113" s="9" t="s">
        <v>80</v>
      </c>
      <c r="AK113" s="9" t="s">
        <v>303</v>
      </c>
      <c r="AL113" s="9" t="s">
        <v>386</v>
      </c>
      <c r="AM113" s="21" t="s">
        <v>387</v>
      </c>
      <c r="AN113" s="21"/>
      <c r="AO113" s="9">
        <v>1643</v>
      </c>
      <c r="AP113" s="10"/>
      <c r="AQ113" s="10"/>
      <c r="AR113" s="10"/>
      <c r="AS113" s="10"/>
      <c r="AT113" s="10"/>
      <c r="AU113" s="10"/>
      <c r="AV113" s="22">
        <v>17.377079999999999</v>
      </c>
      <c r="AW113" s="22">
        <v>-98.019069999999999</v>
      </c>
      <c r="AY113" s="10"/>
      <c r="BB113" s="19" t="s">
        <v>345</v>
      </c>
      <c r="BC113" s="9" t="s">
        <v>348</v>
      </c>
      <c r="BD113" s="9" t="s">
        <v>349</v>
      </c>
      <c r="BE113" s="12" t="s">
        <v>350</v>
      </c>
      <c r="BF113" s="12" t="s">
        <v>351</v>
      </c>
      <c r="BH113" s="9" t="s">
        <v>104</v>
      </c>
      <c r="BJ113" s="12"/>
    </row>
    <row r="114" spans="2:62" s="9" customFormat="1" x14ac:dyDescent="0.2">
      <c r="B114" s="10"/>
      <c r="E114" s="19" t="s">
        <v>345</v>
      </c>
      <c r="F114" s="9" t="s">
        <v>388</v>
      </c>
      <c r="G114" s="9" t="s">
        <v>72</v>
      </c>
      <c r="I114" s="9" t="s">
        <v>72</v>
      </c>
      <c r="J114" s="9" t="s">
        <v>74</v>
      </c>
      <c r="K114" s="9" t="s">
        <v>297</v>
      </c>
      <c r="L114" s="10">
        <v>1</v>
      </c>
      <c r="M114" s="9" t="s">
        <v>76</v>
      </c>
      <c r="N114" s="9" t="s">
        <v>113</v>
      </c>
      <c r="O114" s="9" t="s">
        <v>309</v>
      </c>
      <c r="Q114" s="9" t="s">
        <v>347</v>
      </c>
      <c r="R114" s="9" t="s">
        <v>299</v>
      </c>
      <c r="S114" s="9" t="s">
        <v>74</v>
      </c>
      <c r="V114" s="10"/>
      <c r="Y114" s="10" t="s">
        <v>335</v>
      </c>
      <c r="Z114" s="9" t="s">
        <v>79</v>
      </c>
      <c r="AB114" s="10"/>
      <c r="AC114" s="10">
        <v>2018</v>
      </c>
      <c r="AD114" s="10" t="s">
        <v>363</v>
      </c>
      <c r="AE114" s="10">
        <v>9</v>
      </c>
      <c r="AF114" s="9" t="s">
        <v>364</v>
      </c>
      <c r="AG114" s="9" t="s">
        <v>315</v>
      </c>
      <c r="AI114" s="9" t="s">
        <v>80</v>
      </c>
      <c r="AK114" s="9" t="s">
        <v>303</v>
      </c>
      <c r="AL114" s="9" t="s">
        <v>386</v>
      </c>
      <c r="AM114" s="21" t="s">
        <v>387</v>
      </c>
      <c r="AN114" s="21"/>
      <c r="AO114" s="9">
        <v>1643</v>
      </c>
      <c r="AP114" s="10"/>
      <c r="AQ114" s="10"/>
      <c r="AR114" s="10"/>
      <c r="AS114" s="10"/>
      <c r="AT114" s="10"/>
      <c r="AU114" s="10"/>
      <c r="AV114" s="22">
        <v>17.377079999999999</v>
      </c>
      <c r="AW114" s="22">
        <v>-98.019069999999999</v>
      </c>
      <c r="AY114" s="10"/>
      <c r="BB114" s="19" t="s">
        <v>345</v>
      </c>
      <c r="BC114" s="9" t="s">
        <v>348</v>
      </c>
      <c r="BD114" s="9" t="s">
        <v>349</v>
      </c>
      <c r="BE114" s="12" t="s">
        <v>350</v>
      </c>
      <c r="BF114" s="12" t="s">
        <v>351</v>
      </c>
      <c r="BH114" s="9" t="s">
        <v>104</v>
      </c>
      <c r="BJ114" s="12"/>
    </row>
    <row r="115" spans="2:62" s="9" customFormat="1" x14ac:dyDescent="0.2">
      <c r="B115" s="10"/>
      <c r="E115" s="19" t="s">
        <v>345</v>
      </c>
      <c r="F115" s="9" t="s">
        <v>389</v>
      </c>
      <c r="G115" s="9" t="s">
        <v>72</v>
      </c>
      <c r="I115" s="9" t="s">
        <v>72</v>
      </c>
      <c r="J115" s="9" t="s">
        <v>74</v>
      </c>
      <c r="K115" s="9" t="s">
        <v>297</v>
      </c>
      <c r="L115" s="10">
        <v>1</v>
      </c>
      <c r="M115" s="9" t="s">
        <v>76</v>
      </c>
      <c r="N115" s="9" t="s">
        <v>113</v>
      </c>
      <c r="O115" s="9" t="s">
        <v>309</v>
      </c>
      <c r="Q115" s="9" t="s">
        <v>347</v>
      </c>
      <c r="R115" s="9" t="s">
        <v>299</v>
      </c>
      <c r="S115" s="9" t="s">
        <v>74</v>
      </c>
      <c r="V115" s="10"/>
      <c r="Y115" s="10" t="s">
        <v>335</v>
      </c>
      <c r="Z115" s="9" t="s">
        <v>79</v>
      </c>
      <c r="AB115" s="10"/>
      <c r="AC115" s="10">
        <v>2018</v>
      </c>
      <c r="AD115" s="10" t="s">
        <v>363</v>
      </c>
      <c r="AE115" s="10">
        <v>9</v>
      </c>
      <c r="AF115" s="9" t="s">
        <v>364</v>
      </c>
      <c r="AG115" s="9" t="s">
        <v>315</v>
      </c>
      <c r="AI115" s="9" t="s">
        <v>80</v>
      </c>
      <c r="AK115" s="9" t="s">
        <v>303</v>
      </c>
      <c r="AL115" s="9" t="s">
        <v>386</v>
      </c>
      <c r="AM115" s="21" t="s">
        <v>387</v>
      </c>
      <c r="AN115" s="21"/>
      <c r="AO115" s="9">
        <v>1643</v>
      </c>
      <c r="AP115" s="10"/>
      <c r="AQ115" s="10"/>
      <c r="AR115" s="10"/>
      <c r="AS115" s="10"/>
      <c r="AT115" s="10"/>
      <c r="AU115" s="10"/>
      <c r="AV115" s="22">
        <v>17.377079999999999</v>
      </c>
      <c r="AW115" s="22">
        <v>-98.019069999999999</v>
      </c>
      <c r="AY115" s="10"/>
      <c r="BB115" s="19" t="s">
        <v>345</v>
      </c>
      <c r="BC115" s="9" t="s">
        <v>348</v>
      </c>
      <c r="BD115" s="9" t="s">
        <v>349</v>
      </c>
      <c r="BE115" s="12" t="s">
        <v>350</v>
      </c>
      <c r="BF115" s="12" t="s">
        <v>351</v>
      </c>
      <c r="BH115" s="9" t="s">
        <v>104</v>
      </c>
      <c r="BJ115" s="12"/>
    </row>
    <row r="116" spans="2:62" s="9" customFormat="1" x14ac:dyDescent="0.2">
      <c r="B116" s="10"/>
      <c r="E116" s="19" t="s">
        <v>390</v>
      </c>
      <c r="F116" s="9" t="s">
        <v>391</v>
      </c>
      <c r="G116" s="9" t="s">
        <v>72</v>
      </c>
      <c r="I116" s="9" t="s">
        <v>72</v>
      </c>
      <c r="J116" s="9" t="s">
        <v>74</v>
      </c>
      <c r="K116" s="9" t="s">
        <v>297</v>
      </c>
      <c r="L116" s="10">
        <v>1</v>
      </c>
      <c r="M116" s="9" t="s">
        <v>76</v>
      </c>
      <c r="Q116" s="9" t="s">
        <v>392</v>
      </c>
      <c r="R116" s="9" t="s">
        <v>299</v>
      </c>
      <c r="S116" s="9" t="s">
        <v>74</v>
      </c>
      <c r="V116" s="10"/>
      <c r="Y116" s="10" t="s">
        <v>335</v>
      </c>
      <c r="Z116" s="9" t="s">
        <v>79</v>
      </c>
      <c r="AB116" s="10"/>
      <c r="AC116" s="10">
        <v>2018</v>
      </c>
      <c r="AD116" s="10" t="s">
        <v>363</v>
      </c>
      <c r="AE116" s="10">
        <v>9</v>
      </c>
      <c r="AF116" s="9" t="s">
        <v>364</v>
      </c>
      <c r="AG116" s="9" t="s">
        <v>393</v>
      </c>
      <c r="AI116" s="9" t="s">
        <v>80</v>
      </c>
      <c r="AK116" s="9" t="s">
        <v>303</v>
      </c>
      <c r="AL116" s="9" t="s">
        <v>386</v>
      </c>
      <c r="AM116" s="21" t="s">
        <v>387</v>
      </c>
      <c r="AN116" s="21"/>
      <c r="AO116" s="9">
        <v>1643</v>
      </c>
      <c r="AP116" s="10"/>
      <c r="AQ116" s="10"/>
      <c r="AR116" s="10"/>
      <c r="AS116" s="10"/>
      <c r="AT116" s="10"/>
      <c r="AU116" s="10"/>
      <c r="AV116" s="22">
        <v>17.377079999999999</v>
      </c>
      <c r="AW116" s="22">
        <v>-98.019069999999999</v>
      </c>
      <c r="AY116" s="10"/>
      <c r="BB116" s="19" t="s">
        <v>394</v>
      </c>
      <c r="BC116" s="9" t="s">
        <v>348</v>
      </c>
      <c r="BD116" s="9" t="s">
        <v>395</v>
      </c>
      <c r="BE116" s="12" t="s">
        <v>394</v>
      </c>
      <c r="BF116" s="12" t="s">
        <v>351</v>
      </c>
      <c r="BH116" s="9" t="s">
        <v>104</v>
      </c>
      <c r="BJ116" s="12"/>
    </row>
    <row r="117" spans="2:62" s="24" customFormat="1" x14ac:dyDescent="0.2">
      <c r="B117" s="25"/>
      <c r="E117" s="23" t="s">
        <v>396</v>
      </c>
      <c r="F117" s="24" t="s">
        <v>397</v>
      </c>
      <c r="G117" s="24" t="s">
        <v>72</v>
      </c>
      <c r="I117" s="24" t="s">
        <v>72</v>
      </c>
      <c r="J117" s="24" t="s">
        <v>74</v>
      </c>
      <c r="K117" s="24" t="s">
        <v>297</v>
      </c>
      <c r="L117" s="25">
        <v>1</v>
      </c>
      <c r="M117" s="24" t="s">
        <v>76</v>
      </c>
      <c r="O117" s="24" t="s">
        <v>152</v>
      </c>
      <c r="Q117" s="24" t="s">
        <v>115</v>
      </c>
      <c r="R117" s="24" t="s">
        <v>299</v>
      </c>
      <c r="S117" s="24" t="s">
        <v>74</v>
      </c>
      <c r="V117" s="25"/>
      <c r="Y117" s="25" t="s">
        <v>325</v>
      </c>
      <c r="Z117" s="24" t="s">
        <v>79</v>
      </c>
      <c r="AB117" s="25"/>
      <c r="AC117" s="25">
        <v>2018</v>
      </c>
      <c r="AD117" s="25" t="s">
        <v>363</v>
      </c>
      <c r="AE117" s="25">
        <v>10</v>
      </c>
      <c r="AF117" s="24" t="s">
        <v>398</v>
      </c>
      <c r="AG117" s="24" t="s">
        <v>399</v>
      </c>
      <c r="AI117" s="24" t="s">
        <v>80</v>
      </c>
      <c r="AK117" s="24" t="s">
        <v>303</v>
      </c>
      <c r="AL117" s="24" t="s">
        <v>386</v>
      </c>
      <c r="AM117" s="32" t="s">
        <v>400</v>
      </c>
      <c r="AN117" s="32"/>
      <c r="AO117" s="24">
        <v>1711</v>
      </c>
      <c r="AP117" s="25"/>
      <c r="AQ117" s="25"/>
      <c r="AR117" s="25"/>
      <c r="AS117" s="25"/>
      <c r="AT117" s="25"/>
      <c r="AU117" s="25"/>
      <c r="AV117" s="33">
        <v>17.386510000000001</v>
      </c>
      <c r="AW117" s="33">
        <v>-98.020709999999994</v>
      </c>
      <c r="AY117" s="25"/>
      <c r="BB117" s="23" t="s">
        <v>321</v>
      </c>
      <c r="BC117" s="24" t="s">
        <v>85</v>
      </c>
      <c r="BD117" s="24" t="s">
        <v>109</v>
      </c>
      <c r="BE117" s="30" t="s">
        <v>110</v>
      </c>
      <c r="BF117" s="30" t="s">
        <v>351</v>
      </c>
      <c r="BH117" s="24" t="s">
        <v>104</v>
      </c>
      <c r="BJ117" s="30"/>
    </row>
    <row r="118" spans="2:62" s="34" customFormat="1" x14ac:dyDescent="0.2">
      <c r="B118" s="35"/>
      <c r="E118" s="42" t="s">
        <v>396</v>
      </c>
      <c r="F118" s="34" t="s">
        <v>401</v>
      </c>
      <c r="G118" s="34" t="s">
        <v>72</v>
      </c>
      <c r="I118" s="34" t="s">
        <v>72</v>
      </c>
      <c r="J118" s="34" t="s">
        <v>74</v>
      </c>
      <c r="K118" s="34" t="s">
        <v>297</v>
      </c>
      <c r="L118" s="35">
        <v>1</v>
      </c>
      <c r="M118" s="34" t="s">
        <v>76</v>
      </c>
      <c r="O118" s="34" t="s">
        <v>152</v>
      </c>
      <c r="Q118" s="34" t="s">
        <v>115</v>
      </c>
      <c r="R118" s="34" t="s">
        <v>299</v>
      </c>
      <c r="S118" s="34" t="s">
        <v>74</v>
      </c>
      <c r="V118" s="35"/>
      <c r="Y118" s="35" t="s">
        <v>325</v>
      </c>
      <c r="Z118" s="34" t="s">
        <v>79</v>
      </c>
      <c r="AB118" s="35"/>
      <c r="AC118" s="35">
        <v>2018</v>
      </c>
      <c r="AD118" s="35" t="s">
        <v>363</v>
      </c>
      <c r="AE118" s="35">
        <v>10</v>
      </c>
      <c r="AF118" s="34" t="s">
        <v>398</v>
      </c>
      <c r="AG118" s="34" t="s">
        <v>399</v>
      </c>
      <c r="AI118" s="34" t="s">
        <v>80</v>
      </c>
      <c r="AK118" s="34" t="s">
        <v>303</v>
      </c>
      <c r="AL118" s="34" t="s">
        <v>386</v>
      </c>
      <c r="AM118" s="43" t="s">
        <v>400</v>
      </c>
      <c r="AN118" s="43"/>
      <c r="AO118" s="34">
        <v>1711</v>
      </c>
      <c r="AP118" s="35"/>
      <c r="AQ118" s="35"/>
      <c r="AR118" s="35"/>
      <c r="AS118" s="35"/>
      <c r="AT118" s="35"/>
      <c r="AU118" s="35"/>
      <c r="AV118" s="44">
        <v>17.386510000000001</v>
      </c>
      <c r="AW118" s="44">
        <v>-98.020709999999994</v>
      </c>
      <c r="AY118" s="35"/>
      <c r="BB118" s="42" t="s">
        <v>321</v>
      </c>
      <c r="BC118" s="34" t="s">
        <v>85</v>
      </c>
      <c r="BD118" s="34" t="s">
        <v>109</v>
      </c>
      <c r="BE118" s="41" t="s">
        <v>110</v>
      </c>
      <c r="BF118" s="41" t="s">
        <v>351</v>
      </c>
      <c r="BH118" s="34" t="s">
        <v>104</v>
      </c>
      <c r="BJ118" s="41"/>
    </row>
    <row r="119" spans="2:62" s="24" customFormat="1" x14ac:dyDescent="0.2">
      <c r="B119" s="25"/>
      <c r="E119" s="23" t="s">
        <v>396</v>
      </c>
      <c r="F119" s="24" t="s">
        <v>402</v>
      </c>
      <c r="G119" s="24" t="s">
        <v>72</v>
      </c>
      <c r="I119" s="24" t="s">
        <v>72</v>
      </c>
      <c r="J119" s="24" t="s">
        <v>74</v>
      </c>
      <c r="K119" s="24" t="s">
        <v>297</v>
      </c>
      <c r="L119" s="25">
        <v>1</v>
      </c>
      <c r="M119" s="24" t="s">
        <v>76</v>
      </c>
      <c r="O119" s="24" t="s">
        <v>152</v>
      </c>
      <c r="Q119" s="24" t="s">
        <v>115</v>
      </c>
      <c r="R119" s="24" t="s">
        <v>299</v>
      </c>
      <c r="S119" s="24" t="s">
        <v>74</v>
      </c>
      <c r="V119" s="25"/>
      <c r="Y119" s="25" t="s">
        <v>325</v>
      </c>
      <c r="Z119" s="24" t="s">
        <v>79</v>
      </c>
      <c r="AB119" s="25"/>
      <c r="AC119" s="25">
        <v>2018</v>
      </c>
      <c r="AD119" s="25" t="s">
        <v>363</v>
      </c>
      <c r="AE119" s="25">
        <v>10</v>
      </c>
      <c r="AF119" s="24" t="s">
        <v>398</v>
      </c>
      <c r="AG119" s="24" t="s">
        <v>399</v>
      </c>
      <c r="AI119" s="24" t="s">
        <v>80</v>
      </c>
      <c r="AK119" s="24" t="s">
        <v>303</v>
      </c>
      <c r="AL119" s="24" t="s">
        <v>386</v>
      </c>
      <c r="AM119" s="32" t="s">
        <v>400</v>
      </c>
      <c r="AN119" s="32"/>
      <c r="AO119" s="24">
        <v>1711</v>
      </c>
      <c r="AP119" s="25"/>
      <c r="AQ119" s="25"/>
      <c r="AR119" s="25"/>
      <c r="AS119" s="25"/>
      <c r="AT119" s="25"/>
      <c r="AU119" s="25"/>
      <c r="AV119" s="33">
        <v>17.386510000000001</v>
      </c>
      <c r="AW119" s="33">
        <v>-98.020709999999994</v>
      </c>
      <c r="AY119" s="25"/>
      <c r="BB119" s="23" t="s">
        <v>321</v>
      </c>
      <c r="BC119" s="24" t="s">
        <v>85</v>
      </c>
      <c r="BD119" s="24" t="s">
        <v>109</v>
      </c>
      <c r="BE119" s="30" t="s">
        <v>110</v>
      </c>
      <c r="BF119" s="30" t="s">
        <v>351</v>
      </c>
      <c r="BH119" s="24" t="s">
        <v>104</v>
      </c>
      <c r="BJ119" s="30"/>
    </row>
    <row r="120" spans="2:62" s="9" customFormat="1" x14ac:dyDescent="0.2">
      <c r="B120" s="10"/>
      <c r="E120" s="19" t="s">
        <v>90</v>
      </c>
      <c r="F120" s="9" t="s">
        <v>403</v>
      </c>
      <c r="G120" s="9" t="s">
        <v>72</v>
      </c>
      <c r="I120" s="9" t="s">
        <v>72</v>
      </c>
      <c r="J120" s="9" t="s">
        <v>74</v>
      </c>
      <c r="K120" s="9" t="s">
        <v>297</v>
      </c>
      <c r="L120" s="10">
        <v>1</v>
      </c>
      <c r="M120" s="9" t="s">
        <v>76</v>
      </c>
      <c r="N120" s="9" t="s">
        <v>201</v>
      </c>
      <c r="Q120" s="9" t="s">
        <v>115</v>
      </c>
      <c r="R120" s="9" t="s">
        <v>299</v>
      </c>
      <c r="S120" s="9" t="s">
        <v>74</v>
      </c>
      <c r="V120" s="10"/>
      <c r="Y120" s="10" t="s">
        <v>335</v>
      </c>
      <c r="Z120" s="9" t="s">
        <v>79</v>
      </c>
      <c r="AB120" s="10"/>
      <c r="AC120" s="10">
        <v>2018</v>
      </c>
      <c r="AD120" s="10" t="s">
        <v>363</v>
      </c>
      <c r="AE120" s="10">
        <v>10</v>
      </c>
      <c r="AF120" s="9" t="s">
        <v>404</v>
      </c>
      <c r="AG120" s="9" t="s">
        <v>405</v>
      </c>
      <c r="AI120" s="9" t="s">
        <v>80</v>
      </c>
      <c r="AK120" s="9" t="s">
        <v>303</v>
      </c>
      <c r="AM120" s="21" t="s">
        <v>406</v>
      </c>
      <c r="AN120" s="21"/>
      <c r="AO120" s="9">
        <v>384</v>
      </c>
      <c r="AP120" s="10"/>
      <c r="AQ120" s="10"/>
      <c r="AR120" s="10"/>
      <c r="AS120" s="10"/>
      <c r="AT120" s="10"/>
      <c r="AU120" s="10"/>
      <c r="AV120" s="22">
        <v>16.316130000000001</v>
      </c>
      <c r="AW120" s="22">
        <v>-97.921239999999997</v>
      </c>
      <c r="AY120" s="10"/>
      <c r="BB120" s="19" t="s">
        <v>90</v>
      </c>
      <c r="BC120" s="9" t="s">
        <v>85</v>
      </c>
      <c r="BD120" s="9" t="s">
        <v>86</v>
      </c>
      <c r="BE120" s="12" t="s">
        <v>87</v>
      </c>
      <c r="BF120" s="12" t="s">
        <v>92</v>
      </c>
      <c r="BH120" s="9" t="s">
        <v>104</v>
      </c>
      <c r="BJ120" s="12"/>
    </row>
    <row r="121" spans="2:62" s="9" customFormat="1" x14ac:dyDescent="0.2">
      <c r="B121" s="10"/>
      <c r="E121" s="19" t="s">
        <v>90</v>
      </c>
      <c r="F121" s="9" t="s">
        <v>407</v>
      </c>
      <c r="G121" s="9" t="s">
        <v>72</v>
      </c>
      <c r="I121" s="9" t="s">
        <v>72</v>
      </c>
      <c r="J121" s="9" t="s">
        <v>74</v>
      </c>
      <c r="K121" s="9" t="s">
        <v>297</v>
      </c>
      <c r="L121" s="10">
        <v>1</v>
      </c>
      <c r="M121" s="9" t="s">
        <v>76</v>
      </c>
      <c r="N121" s="9" t="s">
        <v>113</v>
      </c>
      <c r="Q121" s="9" t="s">
        <v>115</v>
      </c>
      <c r="R121" s="9" t="s">
        <v>299</v>
      </c>
      <c r="S121" s="9" t="s">
        <v>74</v>
      </c>
      <c r="V121" s="10"/>
      <c r="Y121" s="10" t="s">
        <v>335</v>
      </c>
      <c r="Z121" s="9" t="s">
        <v>79</v>
      </c>
      <c r="AB121" s="10"/>
      <c r="AC121" s="10">
        <v>2018</v>
      </c>
      <c r="AD121" s="10" t="s">
        <v>363</v>
      </c>
      <c r="AE121" s="10">
        <v>10</v>
      </c>
      <c r="AF121" s="9" t="s">
        <v>404</v>
      </c>
      <c r="AG121" s="9" t="s">
        <v>405</v>
      </c>
      <c r="AI121" s="9" t="s">
        <v>80</v>
      </c>
      <c r="AK121" s="9" t="s">
        <v>303</v>
      </c>
      <c r="AM121" s="21" t="s">
        <v>406</v>
      </c>
      <c r="AN121" s="21"/>
      <c r="AO121" s="9">
        <v>384</v>
      </c>
      <c r="AP121" s="10"/>
      <c r="AQ121" s="10"/>
      <c r="AR121" s="10"/>
      <c r="AS121" s="10"/>
      <c r="AT121" s="10"/>
      <c r="AU121" s="10"/>
      <c r="AV121" s="22">
        <v>16.316130000000001</v>
      </c>
      <c r="AW121" s="22">
        <v>-97.921239999999997</v>
      </c>
      <c r="AY121" s="10"/>
      <c r="BB121" s="19" t="s">
        <v>90</v>
      </c>
      <c r="BC121" s="9" t="s">
        <v>85</v>
      </c>
      <c r="BD121" s="9" t="s">
        <v>86</v>
      </c>
      <c r="BE121" s="12" t="s">
        <v>87</v>
      </c>
      <c r="BF121" s="12" t="s">
        <v>92</v>
      </c>
      <c r="BH121" s="9" t="s">
        <v>104</v>
      </c>
      <c r="BJ121" s="12"/>
    </row>
    <row r="122" spans="2:62" s="9" customFormat="1" x14ac:dyDescent="0.2">
      <c r="B122" s="10"/>
      <c r="E122" s="19" t="s">
        <v>408</v>
      </c>
      <c r="F122" s="9" t="s">
        <v>409</v>
      </c>
      <c r="G122" s="9" t="s">
        <v>72</v>
      </c>
      <c r="I122" s="9" t="s">
        <v>72</v>
      </c>
      <c r="J122" s="9" t="s">
        <v>74</v>
      </c>
      <c r="K122" s="9" t="s">
        <v>297</v>
      </c>
      <c r="L122" s="10">
        <v>1</v>
      </c>
      <c r="M122" s="9" t="s">
        <v>76</v>
      </c>
      <c r="N122" s="9" t="s">
        <v>113</v>
      </c>
      <c r="O122" s="9" t="s">
        <v>309</v>
      </c>
      <c r="Q122" s="9" t="s">
        <v>115</v>
      </c>
      <c r="R122" s="9" t="s">
        <v>299</v>
      </c>
      <c r="S122" s="9" t="s">
        <v>74</v>
      </c>
      <c r="U122" s="9" t="s">
        <v>410</v>
      </c>
      <c r="V122" s="10"/>
      <c r="Y122" s="10" t="s">
        <v>335</v>
      </c>
      <c r="Z122" s="9" t="s">
        <v>79</v>
      </c>
      <c r="AB122" s="10"/>
      <c r="AC122" s="10">
        <v>2018</v>
      </c>
      <c r="AD122" s="10" t="s">
        <v>363</v>
      </c>
      <c r="AE122" s="10">
        <v>10</v>
      </c>
      <c r="AF122" s="9" t="s">
        <v>404</v>
      </c>
      <c r="AG122" s="9" t="s">
        <v>405</v>
      </c>
      <c r="AI122" s="9" t="s">
        <v>80</v>
      </c>
      <c r="AK122" s="9" t="s">
        <v>303</v>
      </c>
      <c r="AM122" s="21" t="s">
        <v>406</v>
      </c>
      <c r="AN122" s="21"/>
      <c r="AO122" s="9">
        <v>384</v>
      </c>
      <c r="AP122" s="10"/>
      <c r="AQ122" s="10"/>
      <c r="AR122" s="10"/>
      <c r="AS122" s="10"/>
      <c r="AT122" s="10"/>
      <c r="AU122" s="10"/>
      <c r="AV122" s="22">
        <v>16.316130000000001</v>
      </c>
      <c r="AW122" s="22">
        <v>-97.921239999999997</v>
      </c>
      <c r="AY122" s="10"/>
      <c r="BB122" s="19" t="s">
        <v>411</v>
      </c>
      <c r="BC122" s="9" t="s">
        <v>85</v>
      </c>
      <c r="BD122" s="9" t="s">
        <v>101</v>
      </c>
      <c r="BE122" s="12" t="s">
        <v>412</v>
      </c>
      <c r="BF122" s="12" t="s">
        <v>413</v>
      </c>
      <c r="BH122" s="9" t="s">
        <v>104</v>
      </c>
      <c r="BJ122" s="12"/>
    </row>
    <row r="123" spans="2:62" s="9" customFormat="1" x14ac:dyDescent="0.2">
      <c r="B123" s="10"/>
      <c r="E123" s="19" t="s">
        <v>414</v>
      </c>
      <c r="F123" s="9" t="s">
        <v>415</v>
      </c>
      <c r="G123" s="9" t="s">
        <v>72</v>
      </c>
      <c r="I123" s="9" t="s">
        <v>72</v>
      </c>
      <c r="J123" s="9" t="s">
        <v>74</v>
      </c>
      <c r="K123" s="9" t="s">
        <v>297</v>
      </c>
      <c r="L123" s="10">
        <v>1</v>
      </c>
      <c r="M123" s="9" t="s">
        <v>76</v>
      </c>
      <c r="O123" s="9" t="s">
        <v>152</v>
      </c>
      <c r="Q123" s="9" t="s">
        <v>416</v>
      </c>
      <c r="R123" s="9" t="s">
        <v>299</v>
      </c>
      <c r="S123" s="9" t="s">
        <v>74</v>
      </c>
      <c r="V123" s="10"/>
      <c r="Y123" s="10" t="s">
        <v>335</v>
      </c>
      <c r="Z123" s="9" t="s">
        <v>79</v>
      </c>
      <c r="AB123" s="10"/>
      <c r="AC123" s="10">
        <v>2018</v>
      </c>
      <c r="AD123" s="10" t="s">
        <v>363</v>
      </c>
      <c r="AE123" s="10">
        <v>10</v>
      </c>
      <c r="AF123" s="9" t="s">
        <v>404</v>
      </c>
      <c r="AG123" s="9" t="s">
        <v>405</v>
      </c>
      <c r="AI123" s="9" t="s">
        <v>80</v>
      </c>
      <c r="AK123" s="9" t="s">
        <v>303</v>
      </c>
      <c r="AM123" s="21" t="s">
        <v>406</v>
      </c>
      <c r="AN123" s="21"/>
      <c r="AO123" s="9">
        <v>286</v>
      </c>
      <c r="AP123" s="10"/>
      <c r="AQ123" s="10"/>
      <c r="AR123" s="10"/>
      <c r="AS123" s="10"/>
      <c r="AT123" s="10"/>
      <c r="AU123" s="10"/>
      <c r="AV123" s="22">
        <v>16.323270000000001</v>
      </c>
      <c r="AW123" s="22">
        <v>-97.921499999999995</v>
      </c>
      <c r="AY123" s="10"/>
      <c r="BB123" s="19" t="s">
        <v>417</v>
      </c>
      <c r="BC123" s="9" t="s">
        <v>85</v>
      </c>
      <c r="BD123" s="9" t="s">
        <v>418</v>
      </c>
      <c r="BE123" s="12" t="s">
        <v>414</v>
      </c>
      <c r="BF123" s="12" t="s">
        <v>419</v>
      </c>
      <c r="BH123" s="9" t="s">
        <v>104</v>
      </c>
      <c r="BJ123" s="12"/>
    </row>
    <row r="124" spans="2:62" s="9" customFormat="1" x14ac:dyDescent="0.2">
      <c r="B124" s="10"/>
      <c r="E124" s="19" t="s">
        <v>136</v>
      </c>
      <c r="F124" s="9" t="s">
        <v>420</v>
      </c>
      <c r="G124" s="9" t="s">
        <v>72</v>
      </c>
      <c r="I124" s="9" t="s">
        <v>72</v>
      </c>
      <c r="J124" s="9" t="s">
        <v>74</v>
      </c>
      <c r="K124" s="9" t="s">
        <v>297</v>
      </c>
      <c r="L124" s="10">
        <v>1</v>
      </c>
      <c r="M124" s="9" t="s">
        <v>76</v>
      </c>
      <c r="R124" s="9" t="s">
        <v>299</v>
      </c>
      <c r="S124" s="9" t="s">
        <v>74</v>
      </c>
      <c r="V124" s="10"/>
      <c r="Y124" s="10"/>
      <c r="AB124" s="10"/>
      <c r="AC124" s="10">
        <v>2018</v>
      </c>
      <c r="AD124" s="10" t="s">
        <v>363</v>
      </c>
      <c r="AE124" s="10">
        <v>11</v>
      </c>
      <c r="AF124" s="9" t="s">
        <v>509</v>
      </c>
      <c r="AI124" s="9" t="s">
        <v>80</v>
      </c>
      <c r="AK124" s="9" t="s">
        <v>303</v>
      </c>
      <c r="AM124" s="21" t="s">
        <v>510</v>
      </c>
      <c r="AN124" s="21"/>
      <c r="AO124" s="9">
        <v>292</v>
      </c>
      <c r="AP124" s="10">
        <v>16</v>
      </c>
      <c r="AQ124" s="10">
        <v>19</v>
      </c>
      <c r="AR124" s="10">
        <v>50.36</v>
      </c>
      <c r="AS124" s="10">
        <v>98</v>
      </c>
      <c r="AT124" s="10">
        <v>0</v>
      </c>
      <c r="AU124" s="10">
        <v>51.15</v>
      </c>
      <c r="AV124" s="22"/>
      <c r="AW124" s="22"/>
      <c r="AY124" s="10"/>
      <c r="BB124" s="19" t="s">
        <v>511</v>
      </c>
      <c r="BC124" s="9" t="s">
        <v>85</v>
      </c>
      <c r="BD124" s="9" t="s">
        <v>109</v>
      </c>
      <c r="BE124" s="12" t="s">
        <v>110</v>
      </c>
      <c r="BF124" s="12" t="s">
        <v>512</v>
      </c>
      <c r="BJ124" s="12"/>
    </row>
    <row r="125" spans="2:62" s="24" customFormat="1" x14ac:dyDescent="0.2">
      <c r="B125" s="25"/>
      <c r="E125" s="23" t="s">
        <v>136</v>
      </c>
      <c r="F125" s="24" t="s">
        <v>421</v>
      </c>
      <c r="G125" s="24" t="s">
        <v>72</v>
      </c>
      <c r="I125" s="24" t="s">
        <v>72</v>
      </c>
      <c r="J125" s="24" t="s">
        <v>74</v>
      </c>
      <c r="K125" s="24" t="s">
        <v>297</v>
      </c>
      <c r="L125" s="25">
        <v>1</v>
      </c>
      <c r="M125" s="24" t="s">
        <v>76</v>
      </c>
      <c r="R125" s="24" t="s">
        <v>299</v>
      </c>
      <c r="S125" s="24" t="s">
        <v>74</v>
      </c>
      <c r="V125" s="25"/>
      <c r="Y125" s="25"/>
      <c r="AB125" s="25"/>
      <c r="AC125" s="25">
        <v>2018</v>
      </c>
      <c r="AD125" s="25" t="s">
        <v>363</v>
      </c>
      <c r="AE125" s="25">
        <v>11</v>
      </c>
      <c r="AF125" s="24" t="s">
        <v>509</v>
      </c>
      <c r="AI125" s="24" t="s">
        <v>80</v>
      </c>
      <c r="AK125" s="24" t="s">
        <v>303</v>
      </c>
      <c r="AM125" s="32" t="s">
        <v>510</v>
      </c>
      <c r="AN125" s="32"/>
      <c r="AO125" s="24">
        <v>292</v>
      </c>
      <c r="AP125" s="25">
        <v>16</v>
      </c>
      <c r="AQ125" s="25">
        <v>19</v>
      </c>
      <c r="AR125" s="25">
        <v>50.36</v>
      </c>
      <c r="AS125" s="25">
        <v>98</v>
      </c>
      <c r="AT125" s="25">
        <v>0</v>
      </c>
      <c r="AU125" s="25">
        <v>51.15</v>
      </c>
      <c r="AV125" s="33"/>
      <c r="AW125" s="33"/>
      <c r="AY125" s="25"/>
      <c r="BB125" s="23" t="s">
        <v>511</v>
      </c>
      <c r="BC125" s="24" t="s">
        <v>85</v>
      </c>
      <c r="BD125" s="24" t="s">
        <v>109</v>
      </c>
      <c r="BE125" s="30" t="s">
        <v>110</v>
      </c>
      <c r="BF125" s="30" t="s">
        <v>512</v>
      </c>
      <c r="BJ125" s="30"/>
    </row>
    <row r="126" spans="2:62" s="34" customFormat="1" x14ac:dyDescent="0.2">
      <c r="B126" s="35"/>
      <c r="E126" s="42" t="s">
        <v>136</v>
      </c>
      <c r="F126" s="34" t="s">
        <v>422</v>
      </c>
      <c r="G126" s="34" t="s">
        <v>72</v>
      </c>
      <c r="I126" s="34" t="s">
        <v>72</v>
      </c>
      <c r="J126" s="34" t="s">
        <v>74</v>
      </c>
      <c r="K126" s="34" t="s">
        <v>297</v>
      </c>
      <c r="L126" s="35">
        <v>1</v>
      </c>
      <c r="M126" s="34" t="s">
        <v>76</v>
      </c>
      <c r="R126" s="34" t="s">
        <v>299</v>
      </c>
      <c r="S126" s="34" t="s">
        <v>74</v>
      </c>
      <c r="V126" s="35"/>
      <c r="Y126" s="35"/>
      <c r="AB126" s="35"/>
      <c r="AC126" s="35">
        <v>2018</v>
      </c>
      <c r="AD126" s="35" t="s">
        <v>363</v>
      </c>
      <c r="AE126" s="35">
        <v>11</v>
      </c>
      <c r="AF126" s="34" t="s">
        <v>509</v>
      </c>
      <c r="AI126" s="34" t="s">
        <v>80</v>
      </c>
      <c r="AK126" s="34" t="s">
        <v>303</v>
      </c>
      <c r="AM126" s="43" t="s">
        <v>510</v>
      </c>
      <c r="AN126" s="43"/>
      <c r="AO126" s="34">
        <v>292</v>
      </c>
      <c r="AP126" s="35">
        <v>16</v>
      </c>
      <c r="AQ126" s="35">
        <v>19</v>
      </c>
      <c r="AR126" s="35">
        <v>50.36</v>
      </c>
      <c r="AS126" s="35">
        <v>98</v>
      </c>
      <c r="AT126" s="35">
        <v>0</v>
      </c>
      <c r="AU126" s="35">
        <v>51.15</v>
      </c>
      <c r="AV126" s="44"/>
      <c r="AW126" s="44"/>
      <c r="AY126" s="35"/>
      <c r="BB126" s="42" t="s">
        <v>511</v>
      </c>
      <c r="BC126" s="34" t="s">
        <v>85</v>
      </c>
      <c r="BD126" s="34" t="s">
        <v>109</v>
      </c>
      <c r="BE126" s="41" t="s">
        <v>110</v>
      </c>
      <c r="BF126" s="41" t="s">
        <v>512</v>
      </c>
      <c r="BJ126" s="41"/>
    </row>
    <row r="127" spans="2:62" s="9" customFormat="1" x14ac:dyDescent="0.2">
      <c r="B127" s="10"/>
      <c r="E127" s="19" t="s">
        <v>136</v>
      </c>
      <c r="F127" s="9" t="s">
        <v>423</v>
      </c>
      <c r="G127" s="9" t="s">
        <v>72</v>
      </c>
      <c r="I127" s="9" t="s">
        <v>72</v>
      </c>
      <c r="J127" s="9" t="s">
        <v>74</v>
      </c>
      <c r="K127" s="9" t="s">
        <v>297</v>
      </c>
      <c r="L127" s="10">
        <v>1</v>
      </c>
      <c r="M127" s="9" t="s">
        <v>76</v>
      </c>
      <c r="R127" s="9" t="s">
        <v>299</v>
      </c>
      <c r="S127" s="9" t="s">
        <v>74</v>
      </c>
      <c r="V127" s="10"/>
      <c r="Y127" s="10"/>
      <c r="AB127" s="10"/>
      <c r="AC127" s="10">
        <v>2018</v>
      </c>
      <c r="AD127" s="10" t="s">
        <v>363</v>
      </c>
      <c r="AE127" s="10">
        <v>11</v>
      </c>
      <c r="AF127" s="9" t="s">
        <v>509</v>
      </c>
      <c r="AI127" s="9" t="s">
        <v>80</v>
      </c>
      <c r="AK127" s="9" t="s">
        <v>303</v>
      </c>
      <c r="AM127" s="21" t="s">
        <v>510</v>
      </c>
      <c r="AN127" s="21"/>
      <c r="AO127" s="9">
        <v>292</v>
      </c>
      <c r="AP127" s="10">
        <v>16</v>
      </c>
      <c r="AQ127" s="10">
        <v>19</v>
      </c>
      <c r="AR127" s="10">
        <v>50.36</v>
      </c>
      <c r="AS127" s="10">
        <v>98</v>
      </c>
      <c r="AT127" s="10">
        <v>0</v>
      </c>
      <c r="AU127" s="10">
        <v>51.15</v>
      </c>
      <c r="AV127" s="22"/>
      <c r="AW127" s="22"/>
      <c r="AY127" s="10"/>
      <c r="BB127" s="19" t="s">
        <v>511</v>
      </c>
      <c r="BC127" s="9" t="s">
        <v>85</v>
      </c>
      <c r="BD127" s="9" t="s">
        <v>109</v>
      </c>
      <c r="BE127" s="12" t="s">
        <v>110</v>
      </c>
      <c r="BF127" s="12" t="s">
        <v>512</v>
      </c>
      <c r="BJ127" s="12"/>
    </row>
    <row r="128" spans="2:62" s="9" customFormat="1" x14ac:dyDescent="0.2">
      <c r="B128" s="10"/>
      <c r="E128" s="19" t="s">
        <v>136</v>
      </c>
      <c r="F128" s="9" t="s">
        <v>424</v>
      </c>
      <c r="G128" s="9" t="s">
        <v>72</v>
      </c>
      <c r="I128" s="9" t="s">
        <v>72</v>
      </c>
      <c r="J128" s="9" t="s">
        <v>74</v>
      </c>
      <c r="K128" s="9" t="s">
        <v>297</v>
      </c>
      <c r="L128" s="10">
        <v>1</v>
      </c>
      <c r="M128" s="9" t="s">
        <v>76</v>
      </c>
      <c r="R128" s="9" t="s">
        <v>299</v>
      </c>
      <c r="S128" s="9" t="s">
        <v>74</v>
      </c>
      <c r="V128" s="10"/>
      <c r="Y128" s="10"/>
      <c r="AB128" s="10"/>
      <c r="AC128" s="10">
        <v>2018</v>
      </c>
      <c r="AD128" s="10" t="s">
        <v>363</v>
      </c>
      <c r="AE128" s="10">
        <v>11</v>
      </c>
      <c r="AF128" s="9" t="s">
        <v>509</v>
      </c>
      <c r="AI128" s="9" t="s">
        <v>80</v>
      </c>
      <c r="AK128" s="9" t="s">
        <v>303</v>
      </c>
      <c r="AM128" s="21" t="s">
        <v>510</v>
      </c>
      <c r="AN128" s="21"/>
      <c r="AO128" s="9">
        <v>292</v>
      </c>
      <c r="AP128" s="10">
        <v>16</v>
      </c>
      <c r="AQ128" s="10">
        <v>19</v>
      </c>
      <c r="AR128" s="10">
        <v>50.36</v>
      </c>
      <c r="AS128" s="10">
        <v>98</v>
      </c>
      <c r="AT128" s="10">
        <v>0</v>
      </c>
      <c r="AU128" s="10">
        <v>51.15</v>
      </c>
      <c r="AV128" s="22"/>
      <c r="AW128" s="22"/>
      <c r="AY128" s="10"/>
      <c r="BB128" s="19" t="s">
        <v>511</v>
      </c>
      <c r="BC128" s="9" t="s">
        <v>85</v>
      </c>
      <c r="BD128" s="9" t="s">
        <v>109</v>
      </c>
      <c r="BE128" s="12" t="s">
        <v>110</v>
      </c>
      <c r="BF128" s="12" t="s">
        <v>512</v>
      </c>
      <c r="BJ128" s="12"/>
    </row>
    <row r="129" spans="2:62" s="9" customFormat="1" x14ac:dyDescent="0.2">
      <c r="B129" s="10"/>
      <c r="E129" s="19" t="s">
        <v>136</v>
      </c>
      <c r="F129" s="9" t="s">
        <v>425</v>
      </c>
      <c r="G129" s="9" t="s">
        <v>72</v>
      </c>
      <c r="I129" s="9" t="s">
        <v>72</v>
      </c>
      <c r="J129" s="9" t="s">
        <v>74</v>
      </c>
      <c r="K129" s="9" t="s">
        <v>297</v>
      </c>
      <c r="L129" s="10">
        <v>1</v>
      </c>
      <c r="M129" s="9" t="s">
        <v>76</v>
      </c>
      <c r="R129" s="9" t="s">
        <v>299</v>
      </c>
      <c r="S129" s="9" t="s">
        <v>74</v>
      </c>
      <c r="V129" s="10"/>
      <c r="Y129" s="10"/>
      <c r="AB129" s="10"/>
      <c r="AC129" s="10">
        <v>2018</v>
      </c>
      <c r="AD129" s="10" t="s">
        <v>363</v>
      </c>
      <c r="AE129" s="10">
        <v>11</v>
      </c>
      <c r="AF129" s="9" t="s">
        <v>509</v>
      </c>
      <c r="AI129" s="9" t="s">
        <v>80</v>
      </c>
      <c r="AK129" s="9" t="s">
        <v>303</v>
      </c>
      <c r="AM129" s="21" t="s">
        <v>510</v>
      </c>
      <c r="AN129" s="21"/>
      <c r="AO129" s="9">
        <v>292</v>
      </c>
      <c r="AP129" s="10">
        <v>16</v>
      </c>
      <c r="AQ129" s="10">
        <v>19</v>
      </c>
      <c r="AR129" s="10">
        <v>50.36</v>
      </c>
      <c r="AS129" s="10">
        <v>98</v>
      </c>
      <c r="AT129" s="10">
        <v>0</v>
      </c>
      <c r="AU129" s="10">
        <v>51.15</v>
      </c>
      <c r="AV129" s="22"/>
      <c r="AW129" s="22"/>
      <c r="AY129" s="10"/>
      <c r="BB129" s="19" t="s">
        <v>511</v>
      </c>
      <c r="BC129" s="9" t="s">
        <v>85</v>
      </c>
      <c r="BD129" s="9" t="s">
        <v>109</v>
      </c>
      <c r="BE129" s="12" t="s">
        <v>110</v>
      </c>
      <c r="BF129" s="12" t="s">
        <v>512</v>
      </c>
      <c r="BJ129" s="12"/>
    </row>
    <row r="130" spans="2:62" s="9" customFormat="1" x14ac:dyDescent="0.2">
      <c r="B130" s="10"/>
      <c r="E130" s="19" t="s">
        <v>136</v>
      </c>
      <c r="F130" s="9" t="s">
        <v>426</v>
      </c>
      <c r="G130" s="9" t="s">
        <v>72</v>
      </c>
      <c r="I130" s="9" t="s">
        <v>72</v>
      </c>
      <c r="J130" s="9" t="s">
        <v>74</v>
      </c>
      <c r="K130" s="9" t="s">
        <v>297</v>
      </c>
      <c r="L130" s="10">
        <v>1</v>
      </c>
      <c r="M130" s="9" t="s">
        <v>76</v>
      </c>
      <c r="R130" s="9" t="s">
        <v>299</v>
      </c>
      <c r="S130" s="9" t="s">
        <v>74</v>
      </c>
      <c r="V130" s="10"/>
      <c r="Y130" s="10"/>
      <c r="AB130" s="10"/>
      <c r="AC130" s="10">
        <v>2018</v>
      </c>
      <c r="AD130" s="10" t="s">
        <v>363</v>
      </c>
      <c r="AE130" s="10">
        <v>11</v>
      </c>
      <c r="AF130" s="9" t="s">
        <v>509</v>
      </c>
      <c r="AI130" s="9" t="s">
        <v>80</v>
      </c>
      <c r="AK130" s="9" t="s">
        <v>303</v>
      </c>
      <c r="AM130" s="21" t="s">
        <v>510</v>
      </c>
      <c r="AN130" s="21"/>
      <c r="AO130" s="9">
        <v>292</v>
      </c>
      <c r="AP130" s="10">
        <v>16</v>
      </c>
      <c r="AQ130" s="10">
        <v>19</v>
      </c>
      <c r="AR130" s="10">
        <v>50.36</v>
      </c>
      <c r="AS130" s="10">
        <v>98</v>
      </c>
      <c r="AT130" s="10">
        <v>0</v>
      </c>
      <c r="AU130" s="10">
        <v>51.15</v>
      </c>
      <c r="AV130" s="22"/>
      <c r="AW130" s="22"/>
      <c r="AY130" s="10"/>
      <c r="BB130" s="19" t="s">
        <v>511</v>
      </c>
      <c r="BC130" s="9" t="s">
        <v>85</v>
      </c>
      <c r="BD130" s="9" t="s">
        <v>109</v>
      </c>
      <c r="BE130" s="12" t="s">
        <v>110</v>
      </c>
      <c r="BF130" s="12" t="s">
        <v>512</v>
      </c>
      <c r="BJ130" s="12"/>
    </row>
    <row r="131" spans="2:62" s="24" customFormat="1" x14ac:dyDescent="0.2">
      <c r="B131" s="25"/>
      <c r="E131" s="23" t="s">
        <v>136</v>
      </c>
      <c r="F131" s="24" t="s">
        <v>427</v>
      </c>
      <c r="G131" s="24" t="s">
        <v>72</v>
      </c>
      <c r="I131" s="24" t="s">
        <v>72</v>
      </c>
      <c r="J131" s="24" t="s">
        <v>74</v>
      </c>
      <c r="K131" s="24" t="s">
        <v>297</v>
      </c>
      <c r="L131" s="25">
        <v>1</v>
      </c>
      <c r="M131" s="24" t="s">
        <v>76</v>
      </c>
      <c r="R131" s="24" t="s">
        <v>299</v>
      </c>
      <c r="S131" s="24" t="s">
        <v>74</v>
      </c>
      <c r="V131" s="25"/>
      <c r="Y131" s="25"/>
      <c r="AB131" s="25"/>
      <c r="AC131" s="25">
        <v>2018</v>
      </c>
      <c r="AD131" s="25" t="s">
        <v>363</v>
      </c>
      <c r="AE131" s="25">
        <v>11</v>
      </c>
      <c r="AF131" s="24" t="s">
        <v>509</v>
      </c>
      <c r="AI131" s="24" t="s">
        <v>80</v>
      </c>
      <c r="AK131" s="24" t="s">
        <v>303</v>
      </c>
      <c r="AM131" s="32" t="s">
        <v>510</v>
      </c>
      <c r="AN131" s="32"/>
      <c r="AO131" s="24">
        <v>292</v>
      </c>
      <c r="AP131" s="25">
        <v>16</v>
      </c>
      <c r="AQ131" s="25">
        <v>19</v>
      </c>
      <c r="AR131" s="25">
        <v>50.36</v>
      </c>
      <c r="AS131" s="25">
        <v>98</v>
      </c>
      <c r="AT131" s="25">
        <v>0</v>
      </c>
      <c r="AU131" s="25">
        <v>51.15</v>
      </c>
      <c r="AV131" s="33"/>
      <c r="AW131" s="33"/>
      <c r="AY131" s="25"/>
      <c r="BB131" s="23" t="s">
        <v>511</v>
      </c>
      <c r="BC131" s="24" t="s">
        <v>85</v>
      </c>
      <c r="BD131" s="24" t="s">
        <v>109</v>
      </c>
      <c r="BE131" s="30" t="s">
        <v>110</v>
      </c>
      <c r="BF131" s="30" t="s">
        <v>512</v>
      </c>
      <c r="BJ131" s="30"/>
    </row>
    <row r="132" spans="2:62" s="9" customFormat="1" x14ac:dyDescent="0.2">
      <c r="B132" s="10"/>
      <c r="E132" s="19" t="s">
        <v>136</v>
      </c>
      <c r="F132" s="9" t="s">
        <v>428</v>
      </c>
      <c r="G132" s="9" t="s">
        <v>72</v>
      </c>
      <c r="I132" s="9" t="s">
        <v>72</v>
      </c>
      <c r="J132" s="9" t="s">
        <v>74</v>
      </c>
      <c r="K132" s="9" t="s">
        <v>297</v>
      </c>
      <c r="L132" s="10">
        <v>1</v>
      </c>
      <c r="M132" s="9" t="s">
        <v>76</v>
      </c>
      <c r="R132" s="9" t="s">
        <v>299</v>
      </c>
      <c r="S132" s="9" t="s">
        <v>74</v>
      </c>
      <c r="V132" s="10"/>
      <c r="Y132" s="10"/>
      <c r="AB132" s="10"/>
      <c r="AC132" s="10">
        <v>2018</v>
      </c>
      <c r="AD132" s="10" t="s">
        <v>363</v>
      </c>
      <c r="AE132" s="10">
        <v>11</v>
      </c>
      <c r="AF132" s="9" t="s">
        <v>509</v>
      </c>
      <c r="AI132" s="9" t="s">
        <v>80</v>
      </c>
      <c r="AK132" s="9" t="s">
        <v>303</v>
      </c>
      <c r="AM132" s="21" t="s">
        <v>510</v>
      </c>
      <c r="AN132" s="21"/>
      <c r="AO132" s="9">
        <v>292</v>
      </c>
      <c r="AP132" s="10">
        <v>16</v>
      </c>
      <c r="AQ132" s="10">
        <v>19</v>
      </c>
      <c r="AR132" s="10">
        <v>50.36</v>
      </c>
      <c r="AS132" s="10">
        <v>98</v>
      </c>
      <c r="AT132" s="10">
        <v>0</v>
      </c>
      <c r="AU132" s="10">
        <v>51.15</v>
      </c>
      <c r="AV132" s="22"/>
      <c r="AW132" s="22"/>
      <c r="AY132" s="10"/>
      <c r="BB132" s="19" t="s">
        <v>511</v>
      </c>
      <c r="BC132" s="9" t="s">
        <v>85</v>
      </c>
      <c r="BD132" s="9" t="s">
        <v>109</v>
      </c>
      <c r="BE132" s="12" t="s">
        <v>110</v>
      </c>
      <c r="BF132" s="12" t="s">
        <v>512</v>
      </c>
      <c r="BJ132" s="12"/>
    </row>
    <row r="133" spans="2:62" s="34" customFormat="1" x14ac:dyDescent="0.2">
      <c r="B133" s="35"/>
      <c r="E133" s="42" t="s">
        <v>122</v>
      </c>
      <c r="F133" s="34" t="s">
        <v>429</v>
      </c>
      <c r="G133" s="34" t="s">
        <v>72</v>
      </c>
      <c r="I133" s="34" t="s">
        <v>72</v>
      </c>
      <c r="J133" s="34" t="s">
        <v>74</v>
      </c>
      <c r="K133" s="34" t="s">
        <v>297</v>
      </c>
      <c r="L133" s="35">
        <v>1</v>
      </c>
      <c r="M133" s="34" t="s">
        <v>76</v>
      </c>
      <c r="R133" s="34" t="s">
        <v>299</v>
      </c>
      <c r="S133" s="34" t="s">
        <v>74</v>
      </c>
      <c r="V133" s="35"/>
      <c r="Y133" s="35"/>
      <c r="AB133" s="35"/>
      <c r="AC133" s="35">
        <v>2018</v>
      </c>
      <c r="AD133" s="35" t="s">
        <v>363</v>
      </c>
      <c r="AE133" s="35">
        <v>11</v>
      </c>
      <c r="AF133" s="34" t="s">
        <v>509</v>
      </c>
      <c r="AI133" s="34" t="s">
        <v>80</v>
      </c>
      <c r="AK133" s="34" t="s">
        <v>303</v>
      </c>
      <c r="AM133" s="43" t="s">
        <v>510</v>
      </c>
      <c r="AN133" s="43"/>
      <c r="AO133" s="34">
        <v>292</v>
      </c>
      <c r="AP133" s="35">
        <v>16</v>
      </c>
      <c r="AQ133" s="35">
        <v>19</v>
      </c>
      <c r="AR133" s="35">
        <v>50.36</v>
      </c>
      <c r="AS133" s="35">
        <v>98</v>
      </c>
      <c r="AT133" s="35">
        <v>0</v>
      </c>
      <c r="AU133" s="35">
        <v>51.15</v>
      </c>
      <c r="AV133" s="44"/>
      <c r="AW133" s="44"/>
      <c r="AY133" s="35"/>
      <c r="BB133" s="42" t="s">
        <v>122</v>
      </c>
      <c r="BC133" s="34" t="s">
        <v>85</v>
      </c>
      <c r="BD133" s="34" t="s">
        <v>109</v>
      </c>
      <c r="BE133" s="41" t="s">
        <v>110</v>
      </c>
      <c r="BF133" s="41" t="s">
        <v>129</v>
      </c>
      <c r="BJ133" s="41"/>
    </row>
    <row r="134" spans="2:62" s="9" customFormat="1" x14ac:dyDescent="0.2">
      <c r="B134" s="10"/>
      <c r="E134" s="19" t="s">
        <v>122</v>
      </c>
      <c r="F134" s="9" t="s">
        <v>430</v>
      </c>
      <c r="G134" s="9" t="s">
        <v>72</v>
      </c>
      <c r="I134" s="9" t="s">
        <v>72</v>
      </c>
      <c r="J134" s="9" t="s">
        <v>74</v>
      </c>
      <c r="K134" s="9" t="s">
        <v>297</v>
      </c>
      <c r="L134" s="10">
        <v>1</v>
      </c>
      <c r="M134" s="9" t="s">
        <v>76</v>
      </c>
      <c r="R134" s="9" t="s">
        <v>299</v>
      </c>
      <c r="S134" s="9" t="s">
        <v>74</v>
      </c>
      <c r="V134" s="10"/>
      <c r="Y134" s="10"/>
      <c r="AB134" s="10"/>
      <c r="AC134" s="10">
        <v>2018</v>
      </c>
      <c r="AD134" s="10" t="s">
        <v>363</v>
      </c>
      <c r="AE134" s="10">
        <v>11</v>
      </c>
      <c r="AF134" s="9" t="s">
        <v>509</v>
      </c>
      <c r="AI134" s="9" t="s">
        <v>80</v>
      </c>
      <c r="AK134" s="9" t="s">
        <v>303</v>
      </c>
      <c r="AM134" s="21" t="s">
        <v>510</v>
      </c>
      <c r="AN134" s="21"/>
      <c r="AO134" s="9">
        <v>292</v>
      </c>
      <c r="AP134" s="10">
        <v>16</v>
      </c>
      <c r="AQ134" s="10">
        <v>19</v>
      </c>
      <c r="AR134" s="10">
        <v>50.36</v>
      </c>
      <c r="AS134" s="10">
        <v>98</v>
      </c>
      <c r="AT134" s="10">
        <v>0</v>
      </c>
      <c r="AU134" s="10">
        <v>51.15</v>
      </c>
      <c r="AV134" s="22"/>
      <c r="AW134" s="22"/>
      <c r="AY134" s="10"/>
      <c r="BB134" s="19" t="s">
        <v>122</v>
      </c>
      <c r="BC134" s="9" t="s">
        <v>85</v>
      </c>
      <c r="BD134" s="9" t="s">
        <v>109</v>
      </c>
      <c r="BE134" s="12" t="s">
        <v>110</v>
      </c>
      <c r="BF134" s="12" t="s">
        <v>129</v>
      </c>
      <c r="BJ134" s="12"/>
    </row>
    <row r="135" spans="2:62" s="9" customFormat="1" x14ac:dyDescent="0.2">
      <c r="B135" s="10"/>
      <c r="E135" s="19" t="s">
        <v>136</v>
      </c>
      <c r="F135" s="9" t="s">
        <v>431</v>
      </c>
      <c r="G135" s="9" t="s">
        <v>72</v>
      </c>
      <c r="I135" s="9" t="s">
        <v>72</v>
      </c>
      <c r="J135" s="9" t="s">
        <v>74</v>
      </c>
      <c r="K135" s="9" t="s">
        <v>297</v>
      </c>
      <c r="L135" s="10">
        <v>1</v>
      </c>
      <c r="M135" s="9" t="s">
        <v>76</v>
      </c>
      <c r="R135" s="9" t="s">
        <v>299</v>
      </c>
      <c r="S135" s="9" t="s">
        <v>74</v>
      </c>
      <c r="V135" s="10"/>
      <c r="Y135" s="10"/>
      <c r="AB135" s="10"/>
      <c r="AC135" s="10">
        <v>2018</v>
      </c>
      <c r="AD135" s="10" t="s">
        <v>363</v>
      </c>
      <c r="AE135" s="10">
        <v>11</v>
      </c>
      <c r="AF135" s="9" t="s">
        <v>509</v>
      </c>
      <c r="AI135" s="9" t="s">
        <v>80</v>
      </c>
      <c r="AK135" s="9" t="s">
        <v>303</v>
      </c>
      <c r="AM135" s="21" t="s">
        <v>510</v>
      </c>
      <c r="AN135" s="21"/>
      <c r="AO135" s="9">
        <v>292</v>
      </c>
      <c r="AP135" s="10">
        <v>16</v>
      </c>
      <c r="AQ135" s="10">
        <v>19</v>
      </c>
      <c r="AR135" s="10">
        <v>50.36</v>
      </c>
      <c r="AS135" s="10">
        <v>98</v>
      </c>
      <c r="AT135" s="10">
        <v>0</v>
      </c>
      <c r="AU135" s="10">
        <v>51.15</v>
      </c>
      <c r="AV135" s="22"/>
      <c r="AW135" s="22"/>
      <c r="AY135" s="10"/>
      <c r="BB135" s="19" t="s">
        <v>511</v>
      </c>
      <c r="BC135" s="9" t="s">
        <v>85</v>
      </c>
      <c r="BD135" s="9" t="s">
        <v>109</v>
      </c>
      <c r="BE135" s="12" t="s">
        <v>110</v>
      </c>
      <c r="BF135" s="12" t="s">
        <v>512</v>
      </c>
      <c r="BJ135" s="12"/>
    </row>
    <row r="136" spans="2:62" s="24" customFormat="1" x14ac:dyDescent="0.2">
      <c r="B136" s="25"/>
      <c r="E136" s="23" t="s">
        <v>122</v>
      </c>
      <c r="F136" s="24" t="s">
        <v>432</v>
      </c>
      <c r="G136" s="24" t="s">
        <v>72</v>
      </c>
      <c r="I136" s="24" t="s">
        <v>72</v>
      </c>
      <c r="J136" s="24" t="s">
        <v>74</v>
      </c>
      <c r="K136" s="24" t="s">
        <v>297</v>
      </c>
      <c r="L136" s="25">
        <v>1</v>
      </c>
      <c r="M136" s="24" t="s">
        <v>76</v>
      </c>
      <c r="R136" s="24" t="s">
        <v>299</v>
      </c>
      <c r="S136" s="24" t="s">
        <v>74</v>
      </c>
      <c r="V136" s="25"/>
      <c r="Y136" s="25"/>
      <c r="AB136" s="25"/>
      <c r="AC136" s="25">
        <v>2018</v>
      </c>
      <c r="AD136" s="25" t="s">
        <v>363</v>
      </c>
      <c r="AE136" s="25">
        <v>11</v>
      </c>
      <c r="AF136" s="24" t="s">
        <v>509</v>
      </c>
      <c r="AI136" s="24" t="s">
        <v>80</v>
      </c>
      <c r="AK136" s="24" t="s">
        <v>303</v>
      </c>
      <c r="AM136" s="32" t="s">
        <v>510</v>
      </c>
      <c r="AN136" s="32"/>
      <c r="AO136" s="24">
        <v>292</v>
      </c>
      <c r="AP136" s="25">
        <v>16</v>
      </c>
      <c r="AQ136" s="25">
        <v>19</v>
      </c>
      <c r="AR136" s="25">
        <v>50.36</v>
      </c>
      <c r="AS136" s="25">
        <v>98</v>
      </c>
      <c r="AT136" s="25">
        <v>0</v>
      </c>
      <c r="AU136" s="25">
        <v>51.15</v>
      </c>
      <c r="AV136" s="33"/>
      <c r="AW136" s="33"/>
      <c r="AY136" s="25"/>
      <c r="BB136" s="23" t="s">
        <v>122</v>
      </c>
      <c r="BC136" s="24" t="s">
        <v>85</v>
      </c>
      <c r="BD136" s="24" t="s">
        <v>109</v>
      </c>
      <c r="BE136" s="30" t="s">
        <v>110</v>
      </c>
      <c r="BF136" s="30" t="s">
        <v>129</v>
      </c>
      <c r="BJ136" s="30"/>
    </row>
    <row r="137" spans="2:62" s="24" customFormat="1" x14ac:dyDescent="0.2">
      <c r="B137" s="25"/>
      <c r="E137" s="23" t="s">
        <v>136</v>
      </c>
      <c r="F137" s="24" t="s">
        <v>433</v>
      </c>
      <c r="G137" s="24" t="s">
        <v>72</v>
      </c>
      <c r="I137" s="24" t="s">
        <v>72</v>
      </c>
      <c r="J137" s="24" t="s">
        <v>74</v>
      </c>
      <c r="K137" s="24" t="s">
        <v>297</v>
      </c>
      <c r="L137" s="25">
        <v>1</v>
      </c>
      <c r="M137" s="24" t="s">
        <v>76</v>
      </c>
      <c r="R137" s="24" t="s">
        <v>299</v>
      </c>
      <c r="S137" s="24" t="s">
        <v>74</v>
      </c>
      <c r="V137" s="25"/>
      <c r="Y137" s="25"/>
      <c r="AB137" s="25"/>
      <c r="AC137" s="25">
        <v>2018</v>
      </c>
      <c r="AD137" s="25" t="s">
        <v>363</v>
      </c>
      <c r="AE137" s="25">
        <v>11</v>
      </c>
      <c r="AF137" s="24" t="s">
        <v>513</v>
      </c>
      <c r="AI137" s="24" t="s">
        <v>80</v>
      </c>
      <c r="AK137" s="24" t="s">
        <v>303</v>
      </c>
      <c r="AM137" s="32" t="s">
        <v>514</v>
      </c>
      <c r="AN137" s="32"/>
      <c r="AO137" s="24">
        <v>36</v>
      </c>
      <c r="AP137" s="25"/>
      <c r="AQ137" s="25"/>
      <c r="AR137" s="25"/>
      <c r="AS137" s="25"/>
      <c r="AT137" s="25"/>
      <c r="AU137" s="25"/>
      <c r="AV137" s="33">
        <v>16.154920000000001</v>
      </c>
      <c r="AW137" s="33">
        <v>-97.731549999999999</v>
      </c>
      <c r="AY137" s="25"/>
      <c r="BB137" s="23" t="s">
        <v>511</v>
      </c>
      <c r="BC137" s="24" t="s">
        <v>85</v>
      </c>
      <c r="BD137" s="24" t="s">
        <v>109</v>
      </c>
      <c r="BE137" s="30" t="s">
        <v>110</v>
      </c>
      <c r="BF137" s="30" t="s">
        <v>512</v>
      </c>
      <c r="BJ137" s="30"/>
    </row>
    <row r="138" spans="2:62" s="24" customFormat="1" x14ac:dyDescent="0.2">
      <c r="B138" s="25"/>
      <c r="E138" s="23" t="s">
        <v>136</v>
      </c>
      <c r="F138" s="24" t="s">
        <v>434</v>
      </c>
      <c r="G138" s="24" t="s">
        <v>72</v>
      </c>
      <c r="I138" s="24" t="s">
        <v>72</v>
      </c>
      <c r="J138" s="24" t="s">
        <v>74</v>
      </c>
      <c r="K138" s="24" t="s">
        <v>297</v>
      </c>
      <c r="L138" s="25">
        <v>1</v>
      </c>
      <c r="M138" s="24" t="s">
        <v>76</v>
      </c>
      <c r="R138" s="24" t="s">
        <v>299</v>
      </c>
      <c r="S138" s="24" t="s">
        <v>74</v>
      </c>
      <c r="V138" s="25"/>
      <c r="Y138" s="25"/>
      <c r="AB138" s="25"/>
      <c r="AC138" s="25">
        <v>2018</v>
      </c>
      <c r="AD138" s="25" t="s">
        <v>363</v>
      </c>
      <c r="AE138" s="25">
        <v>11</v>
      </c>
      <c r="AF138" s="24" t="s">
        <v>513</v>
      </c>
      <c r="AI138" s="24" t="s">
        <v>80</v>
      </c>
      <c r="AK138" s="24" t="s">
        <v>303</v>
      </c>
      <c r="AM138" s="32" t="s">
        <v>514</v>
      </c>
      <c r="AN138" s="32"/>
      <c r="AO138" s="24">
        <v>36</v>
      </c>
      <c r="AP138" s="25"/>
      <c r="AQ138" s="25"/>
      <c r="AR138" s="25"/>
      <c r="AS138" s="25"/>
      <c r="AT138" s="25"/>
      <c r="AU138" s="25"/>
      <c r="AV138" s="33">
        <v>16.154920000000001</v>
      </c>
      <c r="AW138" s="33">
        <v>-97.731549999999999</v>
      </c>
      <c r="AY138" s="25"/>
      <c r="BB138" s="23" t="s">
        <v>511</v>
      </c>
      <c r="BC138" s="24" t="s">
        <v>85</v>
      </c>
      <c r="BD138" s="24" t="s">
        <v>109</v>
      </c>
      <c r="BE138" s="30" t="s">
        <v>110</v>
      </c>
      <c r="BF138" s="30" t="s">
        <v>512</v>
      </c>
      <c r="BJ138" s="30"/>
    </row>
    <row r="139" spans="2:62" s="24" customFormat="1" x14ac:dyDescent="0.2">
      <c r="B139" s="25"/>
      <c r="E139" s="23" t="s">
        <v>122</v>
      </c>
      <c r="F139" s="24" t="s">
        <v>435</v>
      </c>
      <c r="G139" s="24" t="s">
        <v>72</v>
      </c>
      <c r="I139" s="24" t="s">
        <v>72</v>
      </c>
      <c r="J139" s="24" t="s">
        <v>74</v>
      </c>
      <c r="K139" s="24" t="s">
        <v>297</v>
      </c>
      <c r="L139" s="25">
        <v>1</v>
      </c>
      <c r="M139" s="24" t="s">
        <v>76</v>
      </c>
      <c r="R139" s="24" t="s">
        <v>299</v>
      </c>
      <c r="S139" s="24" t="s">
        <v>74</v>
      </c>
      <c r="V139" s="25"/>
      <c r="Y139" s="25"/>
      <c r="AB139" s="25"/>
      <c r="AC139" s="25">
        <v>2018</v>
      </c>
      <c r="AD139" s="25" t="s">
        <v>363</v>
      </c>
      <c r="AE139" s="25">
        <v>11</v>
      </c>
      <c r="AF139" s="24" t="s">
        <v>513</v>
      </c>
      <c r="AI139" s="24" t="s">
        <v>80</v>
      </c>
      <c r="AK139" s="24" t="s">
        <v>303</v>
      </c>
      <c r="AM139" s="32" t="s">
        <v>514</v>
      </c>
      <c r="AN139" s="32"/>
      <c r="AO139" s="24">
        <v>36</v>
      </c>
      <c r="AP139" s="25"/>
      <c r="AQ139" s="25"/>
      <c r="AR139" s="25"/>
      <c r="AS139" s="25"/>
      <c r="AT139" s="25"/>
      <c r="AU139" s="25"/>
      <c r="AV139" s="33">
        <v>16.154920000000001</v>
      </c>
      <c r="AW139" s="33">
        <v>-97.731549999999999</v>
      </c>
      <c r="AY139" s="25"/>
      <c r="BB139" s="23" t="s">
        <v>122</v>
      </c>
      <c r="BC139" s="24" t="s">
        <v>85</v>
      </c>
      <c r="BD139" s="24" t="s">
        <v>109</v>
      </c>
      <c r="BE139" s="30" t="s">
        <v>110</v>
      </c>
      <c r="BF139" s="30" t="s">
        <v>129</v>
      </c>
      <c r="BJ139" s="30"/>
    </row>
    <row r="140" spans="2:62" s="34" customFormat="1" x14ac:dyDescent="0.2">
      <c r="B140" s="35"/>
      <c r="E140" s="42" t="s">
        <v>136</v>
      </c>
      <c r="F140" s="34" t="s">
        <v>436</v>
      </c>
      <c r="G140" s="34" t="s">
        <v>72</v>
      </c>
      <c r="I140" s="34" t="s">
        <v>72</v>
      </c>
      <c r="J140" s="34" t="s">
        <v>74</v>
      </c>
      <c r="K140" s="34" t="s">
        <v>297</v>
      </c>
      <c r="L140" s="35">
        <v>1</v>
      </c>
      <c r="M140" s="34" t="s">
        <v>76</v>
      </c>
      <c r="R140" s="34" t="s">
        <v>299</v>
      </c>
      <c r="S140" s="34" t="s">
        <v>74</v>
      </c>
      <c r="V140" s="35"/>
      <c r="Y140" s="35"/>
      <c r="AB140" s="35"/>
      <c r="AC140" s="35">
        <v>2018</v>
      </c>
      <c r="AD140" s="35" t="s">
        <v>363</v>
      </c>
      <c r="AE140" s="35">
        <v>11</v>
      </c>
      <c r="AF140" s="34" t="s">
        <v>513</v>
      </c>
      <c r="AI140" s="34" t="s">
        <v>80</v>
      </c>
      <c r="AK140" s="34" t="s">
        <v>303</v>
      </c>
      <c r="AM140" s="43" t="s">
        <v>514</v>
      </c>
      <c r="AN140" s="43"/>
      <c r="AO140" s="34">
        <v>36</v>
      </c>
      <c r="AP140" s="35"/>
      <c r="AQ140" s="35"/>
      <c r="AR140" s="35"/>
      <c r="AS140" s="35"/>
      <c r="AT140" s="35"/>
      <c r="AU140" s="35"/>
      <c r="AV140" s="44">
        <v>16.154920000000001</v>
      </c>
      <c r="AW140" s="44">
        <v>-97.731549999999999</v>
      </c>
      <c r="AY140" s="35"/>
      <c r="BB140" s="42" t="s">
        <v>511</v>
      </c>
      <c r="BC140" s="34" t="s">
        <v>85</v>
      </c>
      <c r="BD140" s="34" t="s">
        <v>109</v>
      </c>
      <c r="BE140" s="41" t="s">
        <v>110</v>
      </c>
      <c r="BF140" s="41" t="s">
        <v>512</v>
      </c>
      <c r="BJ140" s="41"/>
    </row>
    <row r="141" spans="2:62" s="24" customFormat="1" x14ac:dyDescent="0.2">
      <c r="B141" s="25"/>
      <c r="E141" s="23" t="s">
        <v>122</v>
      </c>
      <c r="F141" s="24" t="s">
        <v>437</v>
      </c>
      <c r="G141" s="24" t="s">
        <v>72</v>
      </c>
      <c r="I141" s="24" t="s">
        <v>72</v>
      </c>
      <c r="J141" s="24" t="s">
        <v>74</v>
      </c>
      <c r="K141" s="24" t="s">
        <v>297</v>
      </c>
      <c r="L141" s="25">
        <v>1</v>
      </c>
      <c r="M141" s="24" t="s">
        <v>76</v>
      </c>
      <c r="R141" s="24" t="s">
        <v>299</v>
      </c>
      <c r="S141" s="24" t="s">
        <v>74</v>
      </c>
      <c r="V141" s="25"/>
      <c r="Y141" s="25"/>
      <c r="AB141" s="25"/>
      <c r="AC141" s="25">
        <v>2018</v>
      </c>
      <c r="AD141" s="25" t="s">
        <v>363</v>
      </c>
      <c r="AE141" s="25">
        <v>11</v>
      </c>
      <c r="AF141" s="24" t="s">
        <v>513</v>
      </c>
      <c r="AI141" s="24" t="s">
        <v>80</v>
      </c>
      <c r="AK141" s="24" t="s">
        <v>303</v>
      </c>
      <c r="AM141" s="32" t="s">
        <v>514</v>
      </c>
      <c r="AN141" s="32"/>
      <c r="AO141" s="24">
        <v>36</v>
      </c>
      <c r="AP141" s="25"/>
      <c r="AQ141" s="25"/>
      <c r="AR141" s="25"/>
      <c r="AS141" s="25"/>
      <c r="AT141" s="25"/>
      <c r="AU141" s="25"/>
      <c r="AV141" s="33">
        <v>16.154920000000001</v>
      </c>
      <c r="AW141" s="33">
        <v>-97.731549999999999</v>
      </c>
      <c r="AY141" s="25"/>
      <c r="BB141" s="23" t="s">
        <v>122</v>
      </c>
      <c r="BC141" s="24" t="s">
        <v>85</v>
      </c>
      <c r="BD141" s="24" t="s">
        <v>109</v>
      </c>
      <c r="BE141" s="30" t="s">
        <v>110</v>
      </c>
      <c r="BF141" s="30" t="s">
        <v>129</v>
      </c>
      <c r="BJ141" s="30"/>
    </row>
    <row r="142" spans="2:62" s="34" customFormat="1" x14ac:dyDescent="0.2">
      <c r="B142" s="35"/>
      <c r="E142" s="42" t="s">
        <v>122</v>
      </c>
      <c r="F142" s="34" t="s">
        <v>438</v>
      </c>
      <c r="G142" s="34" t="s">
        <v>72</v>
      </c>
      <c r="I142" s="34" t="s">
        <v>72</v>
      </c>
      <c r="J142" s="34" t="s">
        <v>74</v>
      </c>
      <c r="K142" s="34" t="s">
        <v>297</v>
      </c>
      <c r="L142" s="35">
        <v>1</v>
      </c>
      <c r="M142" s="34" t="s">
        <v>76</v>
      </c>
      <c r="R142" s="34" t="s">
        <v>299</v>
      </c>
      <c r="S142" s="34" t="s">
        <v>74</v>
      </c>
      <c r="V142" s="35"/>
      <c r="Y142" s="35"/>
      <c r="AB142" s="35"/>
      <c r="AC142" s="35">
        <v>2018</v>
      </c>
      <c r="AD142" s="35" t="s">
        <v>363</v>
      </c>
      <c r="AE142" s="35">
        <v>11</v>
      </c>
      <c r="AF142" s="34" t="s">
        <v>513</v>
      </c>
      <c r="AI142" s="34" t="s">
        <v>80</v>
      </c>
      <c r="AK142" s="34" t="s">
        <v>303</v>
      </c>
      <c r="AM142" s="43" t="s">
        <v>514</v>
      </c>
      <c r="AN142" s="43"/>
      <c r="AO142" s="34">
        <v>36</v>
      </c>
      <c r="AP142" s="35"/>
      <c r="AQ142" s="35"/>
      <c r="AR142" s="35"/>
      <c r="AS142" s="35"/>
      <c r="AT142" s="35"/>
      <c r="AU142" s="35"/>
      <c r="AV142" s="44">
        <v>16.154920000000001</v>
      </c>
      <c r="AW142" s="44">
        <v>-97.731549999999999</v>
      </c>
      <c r="AY142" s="35"/>
      <c r="BB142" s="42" t="s">
        <v>122</v>
      </c>
      <c r="BC142" s="34" t="s">
        <v>85</v>
      </c>
      <c r="BD142" s="34" t="s">
        <v>109</v>
      </c>
      <c r="BE142" s="41" t="s">
        <v>110</v>
      </c>
      <c r="BF142" s="41" t="s">
        <v>129</v>
      </c>
      <c r="BJ142" s="41"/>
    </row>
    <row r="143" spans="2:62" s="9" customFormat="1" x14ac:dyDescent="0.2">
      <c r="B143" s="10"/>
      <c r="E143" s="19" t="s">
        <v>136</v>
      </c>
      <c r="F143" s="9" t="s">
        <v>439</v>
      </c>
      <c r="G143" s="9" t="s">
        <v>72</v>
      </c>
      <c r="I143" s="9" t="s">
        <v>72</v>
      </c>
      <c r="J143" s="9" t="s">
        <v>74</v>
      </c>
      <c r="K143" s="9" t="s">
        <v>297</v>
      </c>
      <c r="L143" s="10">
        <v>1</v>
      </c>
      <c r="M143" s="9" t="s">
        <v>76</v>
      </c>
      <c r="R143" s="9" t="s">
        <v>299</v>
      </c>
      <c r="S143" s="9" t="s">
        <v>74</v>
      </c>
      <c r="V143" s="10"/>
      <c r="Y143" s="10"/>
      <c r="AB143" s="10"/>
      <c r="AC143" s="10">
        <v>2018</v>
      </c>
      <c r="AD143" s="10" t="s">
        <v>363</v>
      </c>
      <c r="AE143" s="10">
        <v>11</v>
      </c>
      <c r="AF143" s="9" t="s">
        <v>513</v>
      </c>
      <c r="AI143" s="9" t="s">
        <v>80</v>
      </c>
      <c r="AK143" s="9" t="s">
        <v>303</v>
      </c>
      <c r="AM143" s="21" t="s">
        <v>514</v>
      </c>
      <c r="AN143" s="21"/>
      <c r="AO143" s="9">
        <v>36</v>
      </c>
      <c r="AP143" s="10"/>
      <c r="AQ143" s="10"/>
      <c r="AR143" s="10"/>
      <c r="AS143" s="10"/>
      <c r="AT143" s="10"/>
      <c r="AU143" s="10"/>
      <c r="AV143" s="22">
        <v>16.154920000000001</v>
      </c>
      <c r="AW143" s="22">
        <v>-97.731549999999999</v>
      </c>
      <c r="AY143" s="10"/>
      <c r="BB143" s="19" t="s">
        <v>511</v>
      </c>
      <c r="BC143" s="9" t="s">
        <v>85</v>
      </c>
      <c r="BD143" s="9" t="s">
        <v>109</v>
      </c>
      <c r="BE143" s="12" t="s">
        <v>110</v>
      </c>
      <c r="BF143" s="12" t="s">
        <v>512</v>
      </c>
      <c r="BJ143" s="12"/>
    </row>
    <row r="144" spans="2:62" s="9" customFormat="1" x14ac:dyDescent="0.2">
      <c r="B144" s="10"/>
      <c r="E144" s="19" t="s">
        <v>136</v>
      </c>
      <c r="F144" s="9" t="s">
        <v>440</v>
      </c>
      <c r="G144" s="9" t="s">
        <v>72</v>
      </c>
      <c r="I144" s="9" t="s">
        <v>72</v>
      </c>
      <c r="J144" s="9" t="s">
        <v>74</v>
      </c>
      <c r="K144" s="9" t="s">
        <v>297</v>
      </c>
      <c r="L144" s="10">
        <v>1</v>
      </c>
      <c r="M144" s="9" t="s">
        <v>76</v>
      </c>
      <c r="R144" s="9" t="s">
        <v>299</v>
      </c>
      <c r="S144" s="9" t="s">
        <v>74</v>
      </c>
      <c r="V144" s="10"/>
      <c r="Y144" s="10"/>
      <c r="AB144" s="10"/>
      <c r="AC144" s="10">
        <v>2018</v>
      </c>
      <c r="AD144" s="10" t="s">
        <v>363</v>
      </c>
      <c r="AE144" s="10">
        <v>11</v>
      </c>
      <c r="AF144" s="9" t="s">
        <v>513</v>
      </c>
      <c r="AI144" s="9" t="s">
        <v>80</v>
      </c>
      <c r="AK144" s="9" t="s">
        <v>303</v>
      </c>
      <c r="AM144" s="21" t="s">
        <v>514</v>
      </c>
      <c r="AN144" s="21"/>
      <c r="AO144" s="9">
        <v>36</v>
      </c>
      <c r="AP144" s="10"/>
      <c r="AQ144" s="10"/>
      <c r="AR144" s="10"/>
      <c r="AS144" s="10"/>
      <c r="AT144" s="10"/>
      <c r="AU144" s="10"/>
      <c r="AV144" s="22">
        <v>16.154920000000001</v>
      </c>
      <c r="AW144" s="22">
        <v>-97.731549999999999</v>
      </c>
      <c r="AY144" s="10"/>
      <c r="BB144" s="19" t="s">
        <v>511</v>
      </c>
      <c r="BC144" s="9" t="s">
        <v>85</v>
      </c>
      <c r="BD144" s="9" t="s">
        <v>109</v>
      </c>
      <c r="BE144" s="12" t="s">
        <v>110</v>
      </c>
      <c r="BF144" s="12" t="s">
        <v>512</v>
      </c>
      <c r="BJ144" s="12"/>
    </row>
    <row r="145" spans="2:62" s="9" customFormat="1" x14ac:dyDescent="0.2">
      <c r="B145" s="10"/>
      <c r="E145" s="19" t="s">
        <v>441</v>
      </c>
      <c r="F145" s="9" t="s">
        <v>442</v>
      </c>
      <c r="G145" s="9" t="s">
        <v>72</v>
      </c>
      <c r="I145" s="9" t="s">
        <v>72</v>
      </c>
      <c r="J145" s="9" t="s">
        <v>74</v>
      </c>
      <c r="K145" s="9" t="s">
        <v>297</v>
      </c>
      <c r="L145" s="10">
        <v>1</v>
      </c>
      <c r="M145" s="9" t="s">
        <v>76</v>
      </c>
      <c r="R145" s="9" t="s">
        <v>299</v>
      </c>
      <c r="S145" s="9" t="s">
        <v>74</v>
      </c>
      <c r="V145" s="10"/>
      <c r="Y145" s="10"/>
      <c r="AB145" s="10"/>
      <c r="AC145" s="10">
        <v>2018</v>
      </c>
      <c r="AD145" s="10" t="s">
        <v>363</v>
      </c>
      <c r="AE145" s="10">
        <v>11</v>
      </c>
      <c r="AF145" s="9" t="s">
        <v>513</v>
      </c>
      <c r="AI145" s="9" t="s">
        <v>80</v>
      </c>
      <c r="AK145" s="9" t="s">
        <v>303</v>
      </c>
      <c r="AM145" s="21" t="s">
        <v>514</v>
      </c>
      <c r="AN145" s="21"/>
      <c r="AO145" s="9">
        <v>36</v>
      </c>
      <c r="AP145" s="10"/>
      <c r="AQ145" s="10"/>
      <c r="AR145" s="10"/>
      <c r="AS145" s="10"/>
      <c r="AT145" s="10"/>
      <c r="AU145" s="10"/>
      <c r="AV145" s="22">
        <v>16.154920000000001</v>
      </c>
      <c r="AW145" s="22">
        <v>-97.731549999999999</v>
      </c>
      <c r="AY145" s="10"/>
      <c r="BB145" s="19" t="s">
        <v>515</v>
      </c>
      <c r="BC145" s="9" t="s">
        <v>85</v>
      </c>
      <c r="BD145" s="9" t="s">
        <v>109</v>
      </c>
      <c r="BE145" s="12" t="s">
        <v>110</v>
      </c>
      <c r="BF145" s="12" t="s">
        <v>512</v>
      </c>
      <c r="BJ145" s="12"/>
    </row>
    <row r="146" spans="2:62" s="24" customFormat="1" x14ac:dyDescent="0.2">
      <c r="B146" s="25"/>
      <c r="E146" s="23" t="s">
        <v>136</v>
      </c>
      <c r="F146" s="24" t="s">
        <v>443</v>
      </c>
      <c r="G146" s="24" t="s">
        <v>72</v>
      </c>
      <c r="I146" s="24" t="s">
        <v>72</v>
      </c>
      <c r="J146" s="24" t="s">
        <v>74</v>
      </c>
      <c r="K146" s="24" t="s">
        <v>297</v>
      </c>
      <c r="L146" s="25">
        <v>1</v>
      </c>
      <c r="M146" s="24" t="s">
        <v>76</v>
      </c>
      <c r="R146" s="24" t="s">
        <v>299</v>
      </c>
      <c r="S146" s="24" t="s">
        <v>74</v>
      </c>
      <c r="V146" s="25"/>
      <c r="Y146" s="25"/>
      <c r="AB146" s="25"/>
      <c r="AC146" s="25">
        <v>2018</v>
      </c>
      <c r="AD146" s="25" t="s">
        <v>363</v>
      </c>
      <c r="AE146" s="25">
        <v>11</v>
      </c>
      <c r="AI146" s="24" t="s">
        <v>80</v>
      </c>
      <c r="AK146" s="24" t="s">
        <v>303</v>
      </c>
      <c r="AM146" s="32" t="s">
        <v>444</v>
      </c>
      <c r="AN146" s="32"/>
      <c r="AO146" s="24">
        <v>32</v>
      </c>
      <c r="AP146" s="25"/>
      <c r="AQ146" s="25"/>
      <c r="AR146" s="25"/>
      <c r="AS146" s="25"/>
      <c r="AT146" s="25"/>
      <c r="AU146" s="25"/>
      <c r="AV146" s="33">
        <v>15.959540000000001</v>
      </c>
      <c r="AW146" s="33">
        <v>-97.247</v>
      </c>
      <c r="AY146" s="25"/>
      <c r="BB146" s="23" t="s">
        <v>511</v>
      </c>
      <c r="BC146" s="24" t="s">
        <v>85</v>
      </c>
      <c r="BD146" s="24" t="s">
        <v>109</v>
      </c>
      <c r="BE146" s="30" t="s">
        <v>110</v>
      </c>
      <c r="BF146" s="30" t="s">
        <v>512</v>
      </c>
      <c r="BJ146" s="30"/>
    </row>
    <row r="147" spans="2:62" s="24" customFormat="1" x14ac:dyDescent="0.2">
      <c r="B147" s="25"/>
      <c r="E147" s="23" t="s">
        <v>136</v>
      </c>
      <c r="F147" s="24" t="s">
        <v>445</v>
      </c>
      <c r="G147" s="24" t="s">
        <v>72</v>
      </c>
      <c r="I147" s="24" t="s">
        <v>72</v>
      </c>
      <c r="J147" s="24" t="s">
        <v>74</v>
      </c>
      <c r="K147" s="24" t="s">
        <v>297</v>
      </c>
      <c r="L147" s="25">
        <v>1</v>
      </c>
      <c r="M147" s="24" t="s">
        <v>76</v>
      </c>
      <c r="R147" s="24" t="s">
        <v>299</v>
      </c>
      <c r="S147" s="24" t="s">
        <v>74</v>
      </c>
      <c r="V147" s="25"/>
      <c r="Y147" s="25"/>
      <c r="AB147" s="25"/>
      <c r="AC147" s="25">
        <v>2018</v>
      </c>
      <c r="AD147" s="25" t="s">
        <v>363</v>
      </c>
      <c r="AE147" s="25">
        <v>11</v>
      </c>
      <c r="AI147" s="24" t="s">
        <v>80</v>
      </c>
      <c r="AK147" s="24" t="s">
        <v>303</v>
      </c>
      <c r="AM147" s="32" t="s">
        <v>444</v>
      </c>
      <c r="AN147" s="32"/>
      <c r="AO147" s="24">
        <v>32</v>
      </c>
      <c r="AP147" s="25"/>
      <c r="AQ147" s="25"/>
      <c r="AR147" s="25"/>
      <c r="AS147" s="25"/>
      <c r="AT147" s="25"/>
      <c r="AU147" s="25"/>
      <c r="AV147" s="33">
        <v>15.959540000000001</v>
      </c>
      <c r="AW147" s="33">
        <v>-97.247</v>
      </c>
      <c r="AY147" s="25"/>
      <c r="BB147" s="23" t="s">
        <v>511</v>
      </c>
      <c r="BC147" s="24" t="s">
        <v>85</v>
      </c>
      <c r="BD147" s="24" t="s">
        <v>109</v>
      </c>
      <c r="BE147" s="30" t="s">
        <v>110</v>
      </c>
      <c r="BF147" s="30" t="s">
        <v>512</v>
      </c>
      <c r="BJ147" s="30"/>
    </row>
    <row r="148" spans="2:62" s="24" customFormat="1" x14ac:dyDescent="0.2">
      <c r="B148" s="25"/>
      <c r="E148" s="23" t="s">
        <v>122</v>
      </c>
      <c r="F148" s="24" t="s">
        <v>446</v>
      </c>
      <c r="G148" s="24" t="s">
        <v>72</v>
      </c>
      <c r="I148" s="24" t="s">
        <v>72</v>
      </c>
      <c r="J148" s="24" t="s">
        <v>74</v>
      </c>
      <c r="K148" s="24" t="s">
        <v>297</v>
      </c>
      <c r="L148" s="25">
        <v>1</v>
      </c>
      <c r="M148" s="24" t="s">
        <v>76</v>
      </c>
      <c r="R148" s="24" t="s">
        <v>299</v>
      </c>
      <c r="S148" s="24" t="s">
        <v>74</v>
      </c>
      <c r="V148" s="25"/>
      <c r="Y148" s="25"/>
      <c r="AB148" s="25"/>
      <c r="AC148" s="25">
        <v>2018</v>
      </c>
      <c r="AD148" s="25" t="s">
        <v>363</v>
      </c>
      <c r="AE148" s="25">
        <v>11</v>
      </c>
      <c r="AI148" s="24" t="s">
        <v>80</v>
      </c>
      <c r="AK148" s="24" t="s">
        <v>303</v>
      </c>
      <c r="AM148" s="32" t="s">
        <v>444</v>
      </c>
      <c r="AN148" s="32"/>
      <c r="AO148" s="24">
        <v>32</v>
      </c>
      <c r="AP148" s="25"/>
      <c r="AQ148" s="25"/>
      <c r="AR148" s="25"/>
      <c r="AS148" s="25"/>
      <c r="AT148" s="25"/>
      <c r="AU148" s="25"/>
      <c r="AV148" s="33">
        <v>15.959540000000001</v>
      </c>
      <c r="AW148" s="33">
        <v>-97.247</v>
      </c>
      <c r="AY148" s="25"/>
      <c r="BB148" s="23" t="s">
        <v>122</v>
      </c>
      <c r="BC148" s="24" t="s">
        <v>85</v>
      </c>
      <c r="BD148" s="24" t="s">
        <v>109</v>
      </c>
      <c r="BE148" s="30" t="s">
        <v>110</v>
      </c>
      <c r="BF148" s="30" t="s">
        <v>129</v>
      </c>
      <c r="BJ148" s="30"/>
    </row>
    <row r="149" spans="2:62" s="24" customFormat="1" x14ac:dyDescent="0.2">
      <c r="B149" s="25"/>
      <c r="E149" s="23" t="s">
        <v>122</v>
      </c>
      <c r="F149" s="24" t="s">
        <v>447</v>
      </c>
      <c r="G149" s="24" t="s">
        <v>72</v>
      </c>
      <c r="I149" s="24" t="s">
        <v>72</v>
      </c>
      <c r="J149" s="24" t="s">
        <v>74</v>
      </c>
      <c r="K149" s="24" t="s">
        <v>297</v>
      </c>
      <c r="L149" s="25">
        <v>1</v>
      </c>
      <c r="M149" s="24" t="s">
        <v>76</v>
      </c>
      <c r="R149" s="24" t="s">
        <v>299</v>
      </c>
      <c r="S149" s="24" t="s">
        <v>74</v>
      </c>
      <c r="V149" s="25"/>
      <c r="Y149" s="25"/>
      <c r="AB149" s="25"/>
      <c r="AC149" s="25">
        <v>2018</v>
      </c>
      <c r="AD149" s="25" t="s">
        <v>363</v>
      </c>
      <c r="AE149" s="25">
        <v>11</v>
      </c>
      <c r="AI149" s="24" t="s">
        <v>80</v>
      </c>
      <c r="AK149" s="24" t="s">
        <v>303</v>
      </c>
      <c r="AM149" s="32" t="s">
        <v>444</v>
      </c>
      <c r="AN149" s="32"/>
      <c r="AO149" s="24">
        <v>32</v>
      </c>
      <c r="AP149" s="25"/>
      <c r="AQ149" s="25"/>
      <c r="AR149" s="25"/>
      <c r="AS149" s="25"/>
      <c r="AT149" s="25"/>
      <c r="AU149" s="25"/>
      <c r="AV149" s="33">
        <v>15.959540000000001</v>
      </c>
      <c r="AW149" s="33">
        <v>-97.247</v>
      </c>
      <c r="AY149" s="25"/>
      <c r="BB149" s="23" t="s">
        <v>122</v>
      </c>
      <c r="BC149" s="24" t="s">
        <v>85</v>
      </c>
      <c r="BD149" s="24" t="s">
        <v>109</v>
      </c>
      <c r="BE149" s="30" t="s">
        <v>110</v>
      </c>
      <c r="BF149" s="30" t="s">
        <v>129</v>
      </c>
      <c r="BJ149" s="30"/>
    </row>
    <row r="150" spans="2:62" s="34" customFormat="1" x14ac:dyDescent="0.2">
      <c r="B150" s="35"/>
      <c r="E150" s="42" t="s">
        <v>122</v>
      </c>
      <c r="F150" s="34" t="s">
        <v>448</v>
      </c>
      <c r="G150" s="34" t="s">
        <v>72</v>
      </c>
      <c r="I150" s="34" t="s">
        <v>72</v>
      </c>
      <c r="J150" s="34" t="s">
        <v>74</v>
      </c>
      <c r="K150" s="34" t="s">
        <v>297</v>
      </c>
      <c r="L150" s="35">
        <v>1</v>
      </c>
      <c r="M150" s="34" t="s">
        <v>76</v>
      </c>
      <c r="R150" s="34" t="s">
        <v>299</v>
      </c>
      <c r="S150" s="34" t="s">
        <v>74</v>
      </c>
      <c r="V150" s="35"/>
      <c r="Y150" s="35"/>
      <c r="AB150" s="35"/>
      <c r="AC150" s="35">
        <v>2018</v>
      </c>
      <c r="AD150" s="35" t="s">
        <v>363</v>
      </c>
      <c r="AE150" s="35">
        <v>11</v>
      </c>
      <c r="AI150" s="34" t="s">
        <v>80</v>
      </c>
      <c r="AK150" s="34" t="s">
        <v>303</v>
      </c>
      <c r="AM150" s="43" t="s">
        <v>444</v>
      </c>
      <c r="AN150" s="43"/>
      <c r="AO150" s="34">
        <v>32</v>
      </c>
      <c r="AP150" s="35"/>
      <c r="AQ150" s="35"/>
      <c r="AR150" s="35"/>
      <c r="AS150" s="35"/>
      <c r="AT150" s="35"/>
      <c r="AU150" s="35"/>
      <c r="AV150" s="44">
        <v>15.959540000000001</v>
      </c>
      <c r="AW150" s="44">
        <v>-97.247</v>
      </c>
      <c r="AY150" s="35"/>
      <c r="BB150" s="42" t="s">
        <v>122</v>
      </c>
      <c r="BC150" s="34" t="s">
        <v>85</v>
      </c>
      <c r="BD150" s="34" t="s">
        <v>109</v>
      </c>
      <c r="BE150" s="41" t="s">
        <v>110</v>
      </c>
      <c r="BF150" s="41" t="s">
        <v>129</v>
      </c>
      <c r="BJ150" s="41"/>
    </row>
    <row r="151" spans="2:62" s="9" customFormat="1" x14ac:dyDescent="0.2">
      <c r="B151" s="10"/>
      <c r="E151" s="19" t="s">
        <v>122</v>
      </c>
      <c r="F151" s="9" t="s">
        <v>449</v>
      </c>
      <c r="G151" s="9" t="s">
        <v>72</v>
      </c>
      <c r="I151" s="9" t="s">
        <v>72</v>
      </c>
      <c r="J151" s="9" t="s">
        <v>74</v>
      </c>
      <c r="K151" s="9" t="s">
        <v>297</v>
      </c>
      <c r="L151" s="10">
        <v>1</v>
      </c>
      <c r="M151" s="9" t="s">
        <v>76</v>
      </c>
      <c r="R151" s="9" t="s">
        <v>299</v>
      </c>
      <c r="S151" s="9" t="s">
        <v>74</v>
      </c>
      <c r="V151" s="10"/>
      <c r="Y151" s="10"/>
      <c r="AB151" s="10"/>
      <c r="AC151" s="10">
        <v>2018</v>
      </c>
      <c r="AD151" s="10" t="s">
        <v>363</v>
      </c>
      <c r="AE151" s="10">
        <v>11</v>
      </c>
      <c r="AI151" s="9" t="s">
        <v>80</v>
      </c>
      <c r="AK151" s="9" t="s">
        <v>303</v>
      </c>
      <c r="AM151" s="21" t="s">
        <v>444</v>
      </c>
      <c r="AN151" s="21"/>
      <c r="AO151" s="9">
        <v>32</v>
      </c>
      <c r="AP151" s="10"/>
      <c r="AQ151" s="10"/>
      <c r="AR151" s="10"/>
      <c r="AS151" s="10"/>
      <c r="AT151" s="10"/>
      <c r="AU151" s="10"/>
      <c r="AV151" s="22">
        <v>15.959540000000001</v>
      </c>
      <c r="AW151" s="22">
        <v>-97.247</v>
      </c>
      <c r="AY151" s="10"/>
      <c r="BB151" s="19" t="s">
        <v>122</v>
      </c>
      <c r="BC151" s="9" t="s">
        <v>85</v>
      </c>
      <c r="BD151" s="9" t="s">
        <v>109</v>
      </c>
      <c r="BE151" s="12" t="s">
        <v>110</v>
      </c>
      <c r="BF151" s="12" t="s">
        <v>129</v>
      </c>
      <c r="BJ151" s="12"/>
    </row>
    <row r="152" spans="2:62" s="9" customFormat="1" x14ac:dyDescent="0.2">
      <c r="B152" s="10"/>
      <c r="E152" s="19" t="s">
        <v>122</v>
      </c>
      <c r="F152" s="9" t="s">
        <v>450</v>
      </c>
      <c r="G152" s="9" t="s">
        <v>72</v>
      </c>
      <c r="I152" s="9" t="s">
        <v>72</v>
      </c>
      <c r="J152" s="9" t="s">
        <v>74</v>
      </c>
      <c r="K152" s="9" t="s">
        <v>297</v>
      </c>
      <c r="L152" s="10">
        <v>1</v>
      </c>
      <c r="M152" s="9" t="s">
        <v>76</v>
      </c>
      <c r="R152" s="9" t="s">
        <v>299</v>
      </c>
      <c r="S152" s="9" t="s">
        <v>74</v>
      </c>
      <c r="V152" s="10"/>
      <c r="Y152" s="10"/>
      <c r="AB152" s="10"/>
      <c r="AC152" s="10">
        <v>2018</v>
      </c>
      <c r="AD152" s="10" t="s">
        <v>363</v>
      </c>
      <c r="AE152" s="10">
        <v>11</v>
      </c>
      <c r="AI152" s="9" t="s">
        <v>80</v>
      </c>
      <c r="AK152" s="9" t="s">
        <v>303</v>
      </c>
      <c r="AM152" s="21" t="s">
        <v>444</v>
      </c>
      <c r="AN152" s="21"/>
      <c r="AO152" s="9">
        <v>32</v>
      </c>
      <c r="AP152" s="10"/>
      <c r="AQ152" s="10"/>
      <c r="AR152" s="10"/>
      <c r="AS152" s="10"/>
      <c r="AT152" s="10"/>
      <c r="AU152" s="10"/>
      <c r="AV152" s="22">
        <v>15.959540000000001</v>
      </c>
      <c r="AW152" s="22">
        <v>-97.247</v>
      </c>
      <c r="AY152" s="10"/>
      <c r="BB152" s="19" t="s">
        <v>122</v>
      </c>
      <c r="BC152" s="9" t="s">
        <v>85</v>
      </c>
      <c r="BD152" s="9" t="s">
        <v>109</v>
      </c>
      <c r="BE152" s="12" t="s">
        <v>110</v>
      </c>
      <c r="BF152" s="12" t="s">
        <v>129</v>
      </c>
      <c r="BJ152" s="12"/>
    </row>
    <row r="153" spans="2:62" s="9" customFormat="1" x14ac:dyDescent="0.2">
      <c r="B153" s="10"/>
      <c r="E153" s="19" t="s">
        <v>122</v>
      </c>
      <c r="F153" s="9" t="s">
        <v>451</v>
      </c>
      <c r="G153" s="9" t="s">
        <v>72</v>
      </c>
      <c r="I153" s="9" t="s">
        <v>72</v>
      </c>
      <c r="J153" s="9" t="s">
        <v>74</v>
      </c>
      <c r="K153" s="9" t="s">
        <v>297</v>
      </c>
      <c r="L153" s="10">
        <v>1</v>
      </c>
      <c r="M153" s="9" t="s">
        <v>76</v>
      </c>
      <c r="R153" s="9" t="s">
        <v>299</v>
      </c>
      <c r="S153" s="9" t="s">
        <v>74</v>
      </c>
      <c r="V153" s="10"/>
      <c r="Y153" s="10"/>
      <c r="AB153" s="10"/>
      <c r="AC153" s="10">
        <v>2018</v>
      </c>
      <c r="AD153" s="10" t="s">
        <v>363</v>
      </c>
      <c r="AE153" s="10">
        <v>11</v>
      </c>
      <c r="AI153" s="9" t="s">
        <v>80</v>
      </c>
      <c r="AK153" s="9" t="s">
        <v>303</v>
      </c>
      <c r="AM153" s="21" t="s">
        <v>444</v>
      </c>
      <c r="AN153" s="21"/>
      <c r="AO153" s="9">
        <v>32</v>
      </c>
      <c r="AP153" s="10"/>
      <c r="AQ153" s="10"/>
      <c r="AR153" s="10"/>
      <c r="AS153" s="10"/>
      <c r="AT153" s="10"/>
      <c r="AU153" s="10"/>
      <c r="AV153" s="22">
        <v>15.959540000000001</v>
      </c>
      <c r="AW153" s="22">
        <v>-97.247</v>
      </c>
      <c r="AY153" s="10"/>
      <c r="BB153" s="19" t="s">
        <v>122</v>
      </c>
      <c r="BC153" s="9" t="s">
        <v>85</v>
      </c>
      <c r="BD153" s="9" t="s">
        <v>109</v>
      </c>
      <c r="BE153" s="12" t="s">
        <v>110</v>
      </c>
      <c r="BF153" s="12" t="s">
        <v>129</v>
      </c>
      <c r="BJ153" s="12"/>
    </row>
    <row r="154" spans="2:62" s="9" customFormat="1" x14ac:dyDescent="0.2">
      <c r="B154" s="10"/>
      <c r="E154" s="19" t="s">
        <v>452</v>
      </c>
      <c r="F154" s="9" t="s">
        <v>453</v>
      </c>
      <c r="G154" s="9" t="s">
        <v>72</v>
      </c>
      <c r="I154" s="9" t="s">
        <v>72</v>
      </c>
      <c r="J154" s="9" t="s">
        <v>74</v>
      </c>
      <c r="K154" s="9" t="s">
        <v>297</v>
      </c>
      <c r="L154" s="10">
        <v>1</v>
      </c>
      <c r="M154" s="9" t="s">
        <v>76</v>
      </c>
      <c r="R154" s="9" t="s">
        <v>299</v>
      </c>
      <c r="S154" s="9" t="s">
        <v>74</v>
      </c>
      <c r="V154" s="10"/>
      <c r="Y154" s="10"/>
      <c r="AB154" s="10"/>
      <c r="AC154" s="10">
        <v>2018</v>
      </c>
      <c r="AD154" s="10" t="s">
        <v>363</v>
      </c>
      <c r="AE154" s="10">
        <v>11</v>
      </c>
      <c r="AI154" s="9" t="s">
        <v>80</v>
      </c>
      <c r="AK154" s="9" t="s">
        <v>303</v>
      </c>
      <c r="AM154" s="21" t="s">
        <v>444</v>
      </c>
      <c r="AN154" s="21"/>
      <c r="AO154" s="9">
        <v>32</v>
      </c>
      <c r="AP154" s="10"/>
      <c r="AQ154" s="10"/>
      <c r="AR154" s="10"/>
      <c r="AS154" s="10"/>
      <c r="AT154" s="10"/>
      <c r="AU154" s="10"/>
      <c r="AV154" s="22">
        <v>15.959540000000001</v>
      </c>
      <c r="AW154" s="22">
        <v>-97.247</v>
      </c>
      <c r="AY154" s="10"/>
      <c r="BB154" s="19" t="s">
        <v>452</v>
      </c>
      <c r="BC154" s="9" t="s">
        <v>85</v>
      </c>
      <c r="BD154" s="9" t="s">
        <v>109</v>
      </c>
      <c r="BE154" s="12" t="s">
        <v>110</v>
      </c>
      <c r="BF154" s="12" t="s">
        <v>129</v>
      </c>
      <c r="BJ154" s="12"/>
    </row>
    <row r="155" spans="2:62" s="9" customFormat="1" x14ac:dyDescent="0.2">
      <c r="B155" s="10"/>
      <c r="E155" s="19" t="s">
        <v>454</v>
      </c>
      <c r="F155" s="9" t="s">
        <v>455</v>
      </c>
      <c r="G155" s="9" t="s">
        <v>72</v>
      </c>
      <c r="I155" s="9" t="s">
        <v>72</v>
      </c>
      <c r="J155" s="9" t="s">
        <v>74</v>
      </c>
      <c r="K155" s="9" t="s">
        <v>297</v>
      </c>
      <c r="L155" s="10">
        <v>1</v>
      </c>
      <c r="M155" s="9" t="s">
        <v>76</v>
      </c>
      <c r="R155" s="9" t="s">
        <v>299</v>
      </c>
      <c r="S155" s="9" t="s">
        <v>74</v>
      </c>
      <c r="V155" s="10"/>
      <c r="Y155" s="10"/>
      <c r="AB155" s="10"/>
      <c r="AC155" s="10">
        <v>2018</v>
      </c>
      <c r="AD155" s="10" t="s">
        <v>363</v>
      </c>
      <c r="AE155" s="10">
        <v>11</v>
      </c>
      <c r="AI155" s="9" t="s">
        <v>80</v>
      </c>
      <c r="AK155" s="9" t="s">
        <v>303</v>
      </c>
      <c r="AM155" s="21" t="s">
        <v>456</v>
      </c>
      <c r="AN155" s="21"/>
      <c r="AO155" s="9">
        <v>7</v>
      </c>
      <c r="AP155" s="10">
        <v>15</v>
      </c>
      <c r="AQ155" s="10">
        <v>52</v>
      </c>
      <c r="AR155" s="10">
        <v>24.6</v>
      </c>
      <c r="AS155" s="10">
        <v>97</v>
      </c>
      <c r="AT155" s="10">
        <v>5</v>
      </c>
      <c r="AU155" s="10">
        <v>59.3</v>
      </c>
      <c r="AV155" s="22"/>
      <c r="AW155" s="22"/>
      <c r="AY155" s="10"/>
      <c r="BB155" s="19" t="s">
        <v>454</v>
      </c>
      <c r="BC155" s="9" t="s">
        <v>85</v>
      </c>
      <c r="BD155" s="9" t="s">
        <v>86</v>
      </c>
      <c r="BE155" s="12" t="s">
        <v>87</v>
      </c>
      <c r="BF155" s="12" t="s">
        <v>516</v>
      </c>
      <c r="BJ155" s="12"/>
    </row>
    <row r="156" spans="2:62" s="9" customFormat="1" x14ac:dyDescent="0.2">
      <c r="B156" s="10"/>
      <c r="E156" s="19" t="s">
        <v>457</v>
      </c>
      <c r="F156" s="9" t="s">
        <v>458</v>
      </c>
      <c r="G156" s="9" t="s">
        <v>72</v>
      </c>
      <c r="I156" s="9" t="s">
        <v>72</v>
      </c>
      <c r="J156" s="9" t="s">
        <v>74</v>
      </c>
      <c r="K156" s="9" t="s">
        <v>297</v>
      </c>
      <c r="L156" s="10">
        <v>1</v>
      </c>
      <c r="M156" s="9" t="s">
        <v>76</v>
      </c>
      <c r="R156" s="9" t="s">
        <v>299</v>
      </c>
      <c r="S156" s="9" t="s">
        <v>74</v>
      </c>
      <c r="V156" s="10" t="s">
        <v>459</v>
      </c>
      <c r="Y156" s="10"/>
      <c r="AB156" s="10"/>
      <c r="AC156" s="10">
        <v>2018</v>
      </c>
      <c r="AD156" s="10" t="s">
        <v>363</v>
      </c>
      <c r="AE156" s="10">
        <v>11</v>
      </c>
      <c r="AI156" s="9" t="s">
        <v>80</v>
      </c>
      <c r="AK156" s="9" t="s">
        <v>303</v>
      </c>
      <c r="AM156" s="21" t="s">
        <v>456</v>
      </c>
      <c r="AN156" s="21"/>
      <c r="AO156" s="9">
        <v>7</v>
      </c>
      <c r="AP156" s="10">
        <v>15</v>
      </c>
      <c r="AQ156" s="10">
        <v>52</v>
      </c>
      <c r="AR156" s="10">
        <v>24.6</v>
      </c>
      <c r="AS156" s="10">
        <v>97</v>
      </c>
      <c r="AT156" s="10">
        <v>5</v>
      </c>
      <c r="AU156" s="10">
        <v>59.3</v>
      </c>
      <c r="AV156" s="22"/>
      <c r="AW156" s="22"/>
      <c r="AY156" s="10"/>
      <c r="BB156" s="19" t="s">
        <v>457</v>
      </c>
      <c r="BC156" s="9" t="s">
        <v>85</v>
      </c>
      <c r="BD156" s="9" t="s">
        <v>86</v>
      </c>
      <c r="BE156" s="12" t="s">
        <v>87</v>
      </c>
      <c r="BF156" s="12" t="s">
        <v>516</v>
      </c>
      <c r="BJ156" s="12"/>
    </row>
    <row r="157" spans="2:62" s="9" customFormat="1" x14ac:dyDescent="0.2">
      <c r="B157" s="10"/>
      <c r="E157" s="19" t="s">
        <v>460</v>
      </c>
      <c r="F157" s="9" t="s">
        <v>461</v>
      </c>
      <c r="G157" s="9" t="s">
        <v>72</v>
      </c>
      <c r="I157" s="9" t="s">
        <v>72</v>
      </c>
      <c r="J157" s="9" t="s">
        <v>74</v>
      </c>
      <c r="K157" s="9" t="s">
        <v>297</v>
      </c>
      <c r="L157" s="10">
        <v>1</v>
      </c>
      <c r="M157" s="9" t="s">
        <v>76</v>
      </c>
      <c r="R157" s="9" t="s">
        <v>299</v>
      </c>
      <c r="S157" s="9" t="s">
        <v>74</v>
      </c>
      <c r="V157" s="10"/>
      <c r="Y157" s="10"/>
      <c r="AB157" s="10"/>
      <c r="AC157" s="10">
        <v>2018</v>
      </c>
      <c r="AD157" s="10" t="s">
        <v>363</v>
      </c>
      <c r="AE157" s="10">
        <v>11</v>
      </c>
      <c r="AI157" s="9" t="s">
        <v>80</v>
      </c>
      <c r="AK157" s="9" t="s">
        <v>303</v>
      </c>
      <c r="AM157" s="21" t="s">
        <v>456</v>
      </c>
      <c r="AN157" s="21"/>
      <c r="AO157" s="9">
        <v>7</v>
      </c>
      <c r="AP157" s="10">
        <v>15</v>
      </c>
      <c r="AQ157" s="10">
        <v>52</v>
      </c>
      <c r="AR157" s="10">
        <v>24.6</v>
      </c>
      <c r="AS157" s="10">
        <v>97</v>
      </c>
      <c r="AT157" s="10">
        <v>5</v>
      </c>
      <c r="AU157" s="10">
        <v>59.3</v>
      </c>
      <c r="AV157" s="22"/>
      <c r="AW157" s="22"/>
      <c r="AY157" s="10"/>
      <c r="BB157" s="19" t="s">
        <v>460</v>
      </c>
      <c r="BC157" s="9" t="s">
        <v>85</v>
      </c>
      <c r="BD157" s="9" t="s">
        <v>86</v>
      </c>
      <c r="BE157" s="12" t="s">
        <v>87</v>
      </c>
      <c r="BF157" s="12" t="s">
        <v>516</v>
      </c>
      <c r="BJ157" s="12"/>
    </row>
    <row r="158" spans="2:62" s="9" customFormat="1" x14ac:dyDescent="0.2">
      <c r="B158" s="10"/>
      <c r="E158" s="19" t="s">
        <v>460</v>
      </c>
      <c r="F158" s="9" t="s">
        <v>462</v>
      </c>
      <c r="G158" s="9" t="s">
        <v>72</v>
      </c>
      <c r="I158" s="9" t="s">
        <v>72</v>
      </c>
      <c r="J158" s="9" t="s">
        <v>74</v>
      </c>
      <c r="K158" s="9" t="s">
        <v>297</v>
      </c>
      <c r="L158" s="10">
        <v>1</v>
      </c>
      <c r="M158" s="9" t="s">
        <v>76</v>
      </c>
      <c r="R158" s="9" t="s">
        <v>299</v>
      </c>
      <c r="S158" s="9" t="s">
        <v>74</v>
      </c>
      <c r="V158" s="10"/>
      <c r="Y158" s="10"/>
      <c r="AB158" s="10"/>
      <c r="AC158" s="10">
        <v>2018</v>
      </c>
      <c r="AD158" s="10" t="s">
        <v>363</v>
      </c>
      <c r="AE158" s="10">
        <v>11</v>
      </c>
      <c r="AI158" s="9" t="s">
        <v>80</v>
      </c>
      <c r="AK158" s="9" t="s">
        <v>303</v>
      </c>
      <c r="AM158" s="21" t="s">
        <v>456</v>
      </c>
      <c r="AN158" s="21"/>
      <c r="AO158" s="9">
        <v>7</v>
      </c>
      <c r="AP158" s="10">
        <v>15</v>
      </c>
      <c r="AQ158" s="10">
        <v>52</v>
      </c>
      <c r="AR158" s="10">
        <v>24.6</v>
      </c>
      <c r="AS158" s="10">
        <v>97</v>
      </c>
      <c r="AT158" s="10">
        <v>5</v>
      </c>
      <c r="AU158" s="10">
        <v>59.3</v>
      </c>
      <c r="AV158" s="22"/>
      <c r="AW158" s="22"/>
      <c r="AY158" s="10"/>
      <c r="BB158" s="19" t="s">
        <v>460</v>
      </c>
      <c r="BC158" s="9" t="s">
        <v>85</v>
      </c>
      <c r="BD158" s="9" t="s">
        <v>86</v>
      </c>
      <c r="BE158" s="12" t="s">
        <v>87</v>
      </c>
      <c r="BF158" s="12" t="s">
        <v>516</v>
      </c>
      <c r="BJ158" s="12"/>
    </row>
    <row r="159" spans="2:62" s="9" customFormat="1" x14ac:dyDescent="0.2">
      <c r="B159" s="10"/>
      <c r="E159" s="19" t="s">
        <v>345</v>
      </c>
      <c r="F159" s="9" t="s">
        <v>463</v>
      </c>
      <c r="G159" s="9" t="s">
        <v>72</v>
      </c>
      <c r="I159" s="9" t="s">
        <v>72</v>
      </c>
      <c r="J159" s="9" t="s">
        <v>74</v>
      </c>
      <c r="K159" s="9" t="s">
        <v>297</v>
      </c>
      <c r="L159" s="10">
        <v>1</v>
      </c>
      <c r="M159" s="9" t="s">
        <v>76</v>
      </c>
      <c r="R159" s="9" t="s">
        <v>299</v>
      </c>
      <c r="S159" s="9" t="s">
        <v>74</v>
      </c>
      <c r="V159" s="10"/>
      <c r="Y159" s="10"/>
      <c r="AB159" s="10"/>
      <c r="AC159" s="10">
        <v>2018</v>
      </c>
      <c r="AD159" s="10" t="s">
        <v>363</v>
      </c>
      <c r="AE159" s="10">
        <v>11</v>
      </c>
      <c r="AI159" s="9" t="s">
        <v>80</v>
      </c>
      <c r="AK159" s="9" t="s">
        <v>303</v>
      </c>
      <c r="AM159" s="21" t="s">
        <v>456</v>
      </c>
      <c r="AN159" s="21"/>
      <c r="AO159" s="9">
        <v>7</v>
      </c>
      <c r="AP159" s="10">
        <v>15</v>
      </c>
      <c r="AQ159" s="10">
        <v>52</v>
      </c>
      <c r="AR159" s="10">
        <v>24.6</v>
      </c>
      <c r="AS159" s="10">
        <v>97</v>
      </c>
      <c r="AT159" s="10">
        <v>5</v>
      </c>
      <c r="AU159" s="10">
        <v>59.3</v>
      </c>
      <c r="AV159" s="22"/>
      <c r="AW159" s="22"/>
      <c r="AY159" s="10"/>
      <c r="BB159" s="19" t="s">
        <v>345</v>
      </c>
      <c r="BC159" s="9" t="s">
        <v>348</v>
      </c>
      <c r="BD159" s="9" t="s">
        <v>349</v>
      </c>
      <c r="BE159" s="12" t="s">
        <v>350</v>
      </c>
      <c r="BF159" s="12" t="s">
        <v>351</v>
      </c>
      <c r="BJ159" s="12"/>
    </row>
    <row r="160" spans="2:62" s="9" customFormat="1" x14ac:dyDescent="0.2">
      <c r="B160" s="10"/>
      <c r="E160" s="19" t="s">
        <v>464</v>
      </c>
      <c r="F160" s="9" t="s">
        <v>465</v>
      </c>
      <c r="G160" s="9" t="s">
        <v>72</v>
      </c>
      <c r="I160" s="9" t="s">
        <v>72</v>
      </c>
      <c r="J160" s="9" t="s">
        <v>74</v>
      </c>
      <c r="K160" s="9" t="s">
        <v>297</v>
      </c>
      <c r="L160" s="10">
        <v>1</v>
      </c>
      <c r="M160" s="9" t="s">
        <v>76</v>
      </c>
      <c r="R160" s="9" t="s">
        <v>299</v>
      </c>
      <c r="S160" s="9" t="s">
        <v>74</v>
      </c>
      <c r="V160" s="10"/>
      <c r="Y160" s="10"/>
      <c r="AB160" s="10"/>
      <c r="AC160" s="10">
        <v>2018</v>
      </c>
      <c r="AD160" s="10" t="s">
        <v>363</v>
      </c>
      <c r="AE160" s="10">
        <v>11</v>
      </c>
      <c r="AI160" s="9" t="s">
        <v>80</v>
      </c>
      <c r="AK160" s="9" t="s">
        <v>303</v>
      </c>
      <c r="AM160" s="21" t="s">
        <v>456</v>
      </c>
      <c r="AN160" s="21"/>
      <c r="AO160" s="9">
        <v>7</v>
      </c>
      <c r="AP160" s="10">
        <v>15</v>
      </c>
      <c r="AQ160" s="10">
        <v>52</v>
      </c>
      <c r="AR160" s="10">
        <v>24.6</v>
      </c>
      <c r="AS160" s="10">
        <v>97</v>
      </c>
      <c r="AT160" s="10">
        <v>5</v>
      </c>
      <c r="AU160" s="10">
        <v>59.3</v>
      </c>
      <c r="AV160" s="22"/>
      <c r="AW160" s="22"/>
      <c r="AY160" s="10"/>
      <c r="BB160" s="19" t="s">
        <v>464</v>
      </c>
      <c r="BC160" s="9" t="s">
        <v>85</v>
      </c>
      <c r="BD160" s="9" t="s">
        <v>517</v>
      </c>
      <c r="BE160" s="12" t="s">
        <v>518</v>
      </c>
      <c r="BF160" s="12" t="s">
        <v>351</v>
      </c>
      <c r="BJ160" s="12"/>
    </row>
    <row r="161" spans="2:62" s="9" customFormat="1" x14ac:dyDescent="0.2">
      <c r="B161" s="10"/>
      <c r="E161" s="19" t="s">
        <v>408</v>
      </c>
      <c r="F161" s="9" t="s">
        <v>466</v>
      </c>
      <c r="G161" s="9" t="s">
        <v>72</v>
      </c>
      <c r="I161" s="9" t="s">
        <v>72</v>
      </c>
      <c r="J161" s="9" t="s">
        <v>74</v>
      </c>
      <c r="K161" s="9" t="s">
        <v>297</v>
      </c>
      <c r="L161" s="10">
        <v>1</v>
      </c>
      <c r="M161" s="9" t="s">
        <v>76</v>
      </c>
      <c r="R161" s="9" t="s">
        <v>299</v>
      </c>
      <c r="S161" s="9" t="s">
        <v>74</v>
      </c>
      <c r="V161" s="10"/>
      <c r="Y161" s="10"/>
      <c r="AB161" s="10"/>
      <c r="AC161" s="10">
        <v>2018</v>
      </c>
      <c r="AD161" s="10" t="s">
        <v>363</v>
      </c>
      <c r="AE161" s="10">
        <v>11</v>
      </c>
      <c r="AI161" s="9" t="s">
        <v>80</v>
      </c>
      <c r="AK161" s="9" t="s">
        <v>303</v>
      </c>
      <c r="AM161" s="21" t="s">
        <v>456</v>
      </c>
      <c r="AN161" s="21"/>
      <c r="AO161" s="9">
        <v>7</v>
      </c>
      <c r="AP161" s="10">
        <v>15</v>
      </c>
      <c r="AQ161" s="10">
        <v>52</v>
      </c>
      <c r="AR161" s="10">
        <v>24.6</v>
      </c>
      <c r="AS161" s="10">
        <v>97</v>
      </c>
      <c r="AT161" s="10">
        <v>5</v>
      </c>
      <c r="AU161" s="10">
        <v>59.3</v>
      </c>
      <c r="AV161" s="22"/>
      <c r="AW161" s="22"/>
      <c r="AY161" s="10"/>
      <c r="BB161" s="19" t="s">
        <v>408</v>
      </c>
      <c r="BC161" s="9" t="s">
        <v>85</v>
      </c>
      <c r="BD161" s="9" t="s">
        <v>101</v>
      </c>
      <c r="BE161" s="12" t="s">
        <v>412</v>
      </c>
      <c r="BF161" s="12" t="s">
        <v>413</v>
      </c>
      <c r="BJ161" s="12"/>
    </row>
    <row r="162" spans="2:62" s="9" customFormat="1" x14ac:dyDescent="0.2">
      <c r="B162" s="10"/>
      <c r="E162" s="19" t="s">
        <v>408</v>
      </c>
      <c r="F162" s="9" t="s">
        <v>467</v>
      </c>
      <c r="G162" s="9" t="s">
        <v>72</v>
      </c>
      <c r="I162" s="9" t="s">
        <v>72</v>
      </c>
      <c r="J162" s="9" t="s">
        <v>74</v>
      </c>
      <c r="K162" s="9" t="s">
        <v>297</v>
      </c>
      <c r="L162" s="10">
        <v>1</v>
      </c>
      <c r="M162" s="9" t="s">
        <v>76</v>
      </c>
      <c r="R162" s="9" t="s">
        <v>299</v>
      </c>
      <c r="S162" s="9" t="s">
        <v>74</v>
      </c>
      <c r="V162" s="10"/>
      <c r="Y162" s="10"/>
      <c r="AB162" s="10"/>
      <c r="AC162" s="10">
        <v>2018</v>
      </c>
      <c r="AD162" s="10" t="s">
        <v>363</v>
      </c>
      <c r="AE162" s="10">
        <v>11</v>
      </c>
      <c r="AI162" s="9" t="s">
        <v>80</v>
      </c>
      <c r="AK162" s="9" t="s">
        <v>303</v>
      </c>
      <c r="AM162" s="21" t="s">
        <v>456</v>
      </c>
      <c r="AN162" s="21"/>
      <c r="AO162" s="9">
        <v>7</v>
      </c>
      <c r="AP162" s="10">
        <v>15</v>
      </c>
      <c r="AQ162" s="10">
        <v>52</v>
      </c>
      <c r="AR162" s="10">
        <v>24.6</v>
      </c>
      <c r="AS162" s="10">
        <v>97</v>
      </c>
      <c r="AT162" s="10">
        <v>5</v>
      </c>
      <c r="AU162" s="10">
        <v>59.3</v>
      </c>
      <c r="AV162" s="22"/>
      <c r="AW162" s="22"/>
      <c r="AY162" s="10"/>
      <c r="BB162" s="19" t="s">
        <v>408</v>
      </c>
      <c r="BC162" s="9" t="s">
        <v>85</v>
      </c>
      <c r="BD162" s="9" t="s">
        <v>101</v>
      </c>
      <c r="BE162" s="12" t="s">
        <v>412</v>
      </c>
      <c r="BF162" s="12" t="s">
        <v>413</v>
      </c>
      <c r="BJ162" s="12"/>
    </row>
    <row r="163" spans="2:62" s="9" customFormat="1" x14ac:dyDescent="0.2">
      <c r="B163" s="10"/>
      <c r="E163" s="19" t="s">
        <v>460</v>
      </c>
      <c r="F163" s="9" t="s">
        <v>468</v>
      </c>
      <c r="G163" s="9" t="s">
        <v>72</v>
      </c>
      <c r="I163" s="9" t="s">
        <v>72</v>
      </c>
      <c r="J163" s="9" t="s">
        <v>74</v>
      </c>
      <c r="K163" s="9" t="s">
        <v>297</v>
      </c>
      <c r="L163" s="10">
        <v>1</v>
      </c>
      <c r="M163" s="9" t="s">
        <v>76</v>
      </c>
      <c r="R163" s="9" t="s">
        <v>299</v>
      </c>
      <c r="S163" s="9" t="s">
        <v>74</v>
      </c>
      <c r="V163" s="10" t="s">
        <v>469</v>
      </c>
      <c r="Y163" s="10"/>
      <c r="AB163" s="10"/>
      <c r="AC163" s="10">
        <v>2018</v>
      </c>
      <c r="AD163" s="10" t="s">
        <v>363</v>
      </c>
      <c r="AE163" s="10">
        <v>11</v>
      </c>
      <c r="AI163" s="9" t="s">
        <v>80</v>
      </c>
      <c r="AK163" s="9" t="s">
        <v>303</v>
      </c>
      <c r="AM163" s="21" t="s">
        <v>470</v>
      </c>
      <c r="AN163" s="21"/>
      <c r="AO163" s="9">
        <v>35</v>
      </c>
      <c r="AP163" s="10">
        <v>15</v>
      </c>
      <c r="AQ163" s="10">
        <v>52</v>
      </c>
      <c r="AR163" s="10">
        <v>23.6</v>
      </c>
      <c r="AS163" s="10">
        <v>97</v>
      </c>
      <c r="AT163" s="10">
        <v>5</v>
      </c>
      <c r="AU163" s="10">
        <v>59.2</v>
      </c>
      <c r="AV163" s="22"/>
      <c r="AW163" s="22"/>
      <c r="AY163" s="10"/>
      <c r="BB163" s="19" t="s">
        <v>460</v>
      </c>
      <c r="BC163" s="9" t="s">
        <v>85</v>
      </c>
      <c r="BD163" s="9" t="s">
        <v>86</v>
      </c>
      <c r="BE163" s="12" t="s">
        <v>87</v>
      </c>
      <c r="BF163" s="12" t="s">
        <v>516</v>
      </c>
      <c r="BJ163" s="12"/>
    </row>
    <row r="164" spans="2:62" s="9" customFormat="1" x14ac:dyDescent="0.2">
      <c r="B164" s="10"/>
      <c r="E164" s="19" t="s">
        <v>460</v>
      </c>
      <c r="F164" s="9" t="s">
        <v>471</v>
      </c>
      <c r="G164" s="9" t="s">
        <v>72</v>
      </c>
      <c r="I164" s="9" t="s">
        <v>72</v>
      </c>
      <c r="J164" s="9" t="s">
        <v>74</v>
      </c>
      <c r="K164" s="9" t="s">
        <v>297</v>
      </c>
      <c r="L164" s="10">
        <v>1</v>
      </c>
      <c r="M164" s="9" t="s">
        <v>76</v>
      </c>
      <c r="R164" s="9" t="s">
        <v>299</v>
      </c>
      <c r="S164" s="9" t="s">
        <v>74</v>
      </c>
      <c r="V164" s="10">
        <v>8528</v>
      </c>
      <c r="Y164" s="10"/>
      <c r="AB164" s="10"/>
      <c r="AC164" s="10">
        <v>2018</v>
      </c>
      <c r="AD164" s="10" t="s">
        <v>363</v>
      </c>
      <c r="AE164" s="10">
        <v>11</v>
      </c>
      <c r="AI164" s="9" t="s">
        <v>80</v>
      </c>
      <c r="AK164" s="9" t="s">
        <v>303</v>
      </c>
      <c r="AM164" s="21" t="s">
        <v>470</v>
      </c>
      <c r="AN164" s="21"/>
      <c r="AO164" s="9">
        <v>35</v>
      </c>
      <c r="AP164" s="10">
        <v>15</v>
      </c>
      <c r="AQ164" s="10">
        <v>52</v>
      </c>
      <c r="AR164" s="10">
        <v>23.6</v>
      </c>
      <c r="AS164" s="10">
        <v>97</v>
      </c>
      <c r="AT164" s="10">
        <v>5</v>
      </c>
      <c r="AU164" s="10">
        <v>59.2</v>
      </c>
      <c r="AV164" s="22"/>
      <c r="AW164" s="22"/>
      <c r="AY164" s="10"/>
      <c r="BB164" s="19" t="s">
        <v>460</v>
      </c>
      <c r="BC164" s="9" t="s">
        <v>85</v>
      </c>
      <c r="BD164" s="9" t="s">
        <v>86</v>
      </c>
      <c r="BE164" s="12" t="s">
        <v>87</v>
      </c>
      <c r="BF164" s="12" t="s">
        <v>516</v>
      </c>
      <c r="BJ164" s="12"/>
    </row>
    <row r="165" spans="2:62" s="9" customFormat="1" x14ac:dyDescent="0.2">
      <c r="B165" s="10"/>
      <c r="E165" s="19" t="s">
        <v>460</v>
      </c>
      <c r="F165" s="9" t="s">
        <v>472</v>
      </c>
      <c r="G165" s="9" t="s">
        <v>72</v>
      </c>
      <c r="I165" s="9" t="s">
        <v>72</v>
      </c>
      <c r="J165" s="9" t="s">
        <v>74</v>
      </c>
      <c r="K165" s="9" t="s">
        <v>297</v>
      </c>
      <c r="L165" s="10">
        <v>1</v>
      </c>
      <c r="M165" s="9" t="s">
        <v>76</v>
      </c>
      <c r="R165" s="9" t="s">
        <v>299</v>
      </c>
      <c r="S165" s="9" t="s">
        <v>74</v>
      </c>
      <c r="V165" s="10"/>
      <c r="Y165" s="10"/>
      <c r="AB165" s="10"/>
      <c r="AC165" s="10">
        <v>2018</v>
      </c>
      <c r="AD165" s="10" t="s">
        <v>363</v>
      </c>
      <c r="AE165" s="10">
        <v>11</v>
      </c>
      <c r="AI165" s="9" t="s">
        <v>80</v>
      </c>
      <c r="AK165" s="9" t="s">
        <v>303</v>
      </c>
      <c r="AM165" s="21" t="s">
        <v>470</v>
      </c>
      <c r="AN165" s="21"/>
      <c r="AO165" s="9">
        <v>35</v>
      </c>
      <c r="AP165" s="10">
        <v>15</v>
      </c>
      <c r="AQ165" s="10">
        <v>52</v>
      </c>
      <c r="AR165" s="10">
        <v>23.6</v>
      </c>
      <c r="AS165" s="10">
        <v>97</v>
      </c>
      <c r="AT165" s="10">
        <v>5</v>
      </c>
      <c r="AU165" s="10">
        <v>59.2</v>
      </c>
      <c r="AV165" s="22"/>
      <c r="AW165" s="22"/>
      <c r="AY165" s="10"/>
      <c r="BB165" s="19" t="s">
        <v>460</v>
      </c>
      <c r="BC165" s="9" t="s">
        <v>85</v>
      </c>
      <c r="BD165" s="9" t="s">
        <v>86</v>
      </c>
      <c r="BE165" s="12" t="s">
        <v>87</v>
      </c>
      <c r="BF165" s="12" t="s">
        <v>516</v>
      </c>
      <c r="BJ165" s="12"/>
    </row>
    <row r="166" spans="2:62" s="9" customFormat="1" x14ac:dyDescent="0.2">
      <c r="B166" s="10"/>
      <c r="E166" s="19" t="s">
        <v>460</v>
      </c>
      <c r="F166" s="9" t="s">
        <v>473</v>
      </c>
      <c r="G166" s="9" t="s">
        <v>72</v>
      </c>
      <c r="I166" s="9" t="s">
        <v>72</v>
      </c>
      <c r="J166" s="9" t="s">
        <v>74</v>
      </c>
      <c r="K166" s="9" t="s">
        <v>297</v>
      </c>
      <c r="L166" s="10">
        <v>1</v>
      </c>
      <c r="M166" s="9" t="s">
        <v>76</v>
      </c>
      <c r="R166" s="9" t="s">
        <v>299</v>
      </c>
      <c r="S166" s="9" t="s">
        <v>74</v>
      </c>
      <c r="V166" s="10"/>
      <c r="Y166" s="10"/>
      <c r="AB166" s="10"/>
      <c r="AC166" s="10">
        <v>2018</v>
      </c>
      <c r="AD166" s="10" t="s">
        <v>363</v>
      </c>
      <c r="AE166" s="10">
        <v>11</v>
      </c>
      <c r="AI166" s="9" t="s">
        <v>80</v>
      </c>
      <c r="AK166" s="9" t="s">
        <v>303</v>
      </c>
      <c r="AM166" s="21" t="s">
        <v>470</v>
      </c>
      <c r="AN166" s="21"/>
      <c r="AO166" s="9">
        <v>35</v>
      </c>
      <c r="AP166" s="10">
        <v>15</v>
      </c>
      <c r="AQ166" s="10">
        <v>52</v>
      </c>
      <c r="AR166" s="10">
        <v>23.6</v>
      </c>
      <c r="AS166" s="10">
        <v>97</v>
      </c>
      <c r="AT166" s="10">
        <v>5</v>
      </c>
      <c r="AU166" s="10">
        <v>59.2</v>
      </c>
      <c r="AV166" s="22"/>
      <c r="AW166" s="22"/>
      <c r="AY166" s="10"/>
      <c r="BB166" s="19" t="s">
        <v>460</v>
      </c>
      <c r="BC166" s="9" t="s">
        <v>85</v>
      </c>
      <c r="BD166" s="9" t="s">
        <v>86</v>
      </c>
      <c r="BE166" s="12" t="s">
        <v>87</v>
      </c>
      <c r="BF166" s="12" t="s">
        <v>516</v>
      </c>
      <c r="BJ166" s="12"/>
    </row>
    <row r="167" spans="2:62" s="9" customFormat="1" x14ac:dyDescent="0.2">
      <c r="B167" s="10"/>
      <c r="E167" s="19" t="s">
        <v>460</v>
      </c>
      <c r="F167" s="9" t="s">
        <v>474</v>
      </c>
      <c r="G167" s="9" t="s">
        <v>72</v>
      </c>
      <c r="I167" s="9" t="s">
        <v>72</v>
      </c>
      <c r="J167" s="9" t="s">
        <v>74</v>
      </c>
      <c r="K167" s="9" t="s">
        <v>297</v>
      </c>
      <c r="L167" s="10">
        <v>1</v>
      </c>
      <c r="M167" s="9" t="s">
        <v>76</v>
      </c>
      <c r="R167" s="9" t="s">
        <v>299</v>
      </c>
      <c r="S167" s="9" t="s">
        <v>74</v>
      </c>
      <c r="V167" s="10"/>
      <c r="Y167" s="10"/>
      <c r="AB167" s="10"/>
      <c r="AC167" s="10">
        <v>2018</v>
      </c>
      <c r="AD167" s="10" t="s">
        <v>363</v>
      </c>
      <c r="AE167" s="10">
        <v>11</v>
      </c>
      <c r="AI167" s="9" t="s">
        <v>80</v>
      </c>
      <c r="AK167" s="9" t="s">
        <v>303</v>
      </c>
      <c r="AM167" s="21" t="s">
        <v>470</v>
      </c>
      <c r="AN167" s="21"/>
      <c r="AO167" s="9">
        <v>35</v>
      </c>
      <c r="AP167" s="10">
        <v>15</v>
      </c>
      <c r="AQ167" s="10">
        <v>52</v>
      </c>
      <c r="AR167" s="10">
        <v>23.6</v>
      </c>
      <c r="AS167" s="10">
        <v>97</v>
      </c>
      <c r="AT167" s="10">
        <v>5</v>
      </c>
      <c r="AU167" s="10">
        <v>59.2</v>
      </c>
      <c r="AV167" s="22"/>
      <c r="AW167" s="22"/>
      <c r="AY167" s="10"/>
      <c r="BB167" s="19" t="s">
        <v>460</v>
      </c>
      <c r="BC167" s="9" t="s">
        <v>85</v>
      </c>
      <c r="BD167" s="9" t="s">
        <v>86</v>
      </c>
      <c r="BE167" s="12" t="s">
        <v>87</v>
      </c>
      <c r="BF167" s="12" t="s">
        <v>516</v>
      </c>
      <c r="BJ167" s="12"/>
    </row>
    <row r="168" spans="2:62" s="9" customFormat="1" x14ac:dyDescent="0.2">
      <c r="B168" s="10"/>
      <c r="E168" s="19" t="s">
        <v>460</v>
      </c>
      <c r="F168" s="9" t="s">
        <v>475</v>
      </c>
      <c r="G168" s="9" t="s">
        <v>72</v>
      </c>
      <c r="I168" s="9" t="s">
        <v>72</v>
      </c>
      <c r="J168" s="9" t="s">
        <v>74</v>
      </c>
      <c r="K168" s="9" t="s">
        <v>297</v>
      </c>
      <c r="L168" s="10">
        <v>1</v>
      </c>
      <c r="M168" s="9" t="s">
        <v>76</v>
      </c>
      <c r="R168" s="9" t="s">
        <v>299</v>
      </c>
      <c r="S168" s="9" t="s">
        <v>74</v>
      </c>
      <c r="V168" s="10"/>
      <c r="Y168" s="10"/>
      <c r="AB168" s="10"/>
      <c r="AC168" s="10">
        <v>2018</v>
      </c>
      <c r="AD168" s="10" t="s">
        <v>363</v>
      </c>
      <c r="AE168" s="10">
        <v>11</v>
      </c>
      <c r="AI168" s="9" t="s">
        <v>80</v>
      </c>
      <c r="AK168" s="9" t="s">
        <v>303</v>
      </c>
      <c r="AM168" s="21" t="s">
        <v>470</v>
      </c>
      <c r="AN168" s="21"/>
      <c r="AO168" s="9">
        <v>35</v>
      </c>
      <c r="AP168" s="10">
        <v>15</v>
      </c>
      <c r="AQ168" s="10">
        <v>52</v>
      </c>
      <c r="AR168" s="10">
        <v>23.6</v>
      </c>
      <c r="AS168" s="10">
        <v>97</v>
      </c>
      <c r="AT168" s="10">
        <v>5</v>
      </c>
      <c r="AU168" s="10">
        <v>59.2</v>
      </c>
      <c r="AV168" s="22"/>
      <c r="AW168" s="22"/>
      <c r="AY168" s="10"/>
      <c r="BB168" s="19" t="s">
        <v>460</v>
      </c>
      <c r="BC168" s="9" t="s">
        <v>85</v>
      </c>
      <c r="BD168" s="9" t="s">
        <v>86</v>
      </c>
      <c r="BE168" s="12" t="s">
        <v>87</v>
      </c>
      <c r="BF168" s="12" t="s">
        <v>516</v>
      </c>
      <c r="BJ168" s="12"/>
    </row>
    <row r="169" spans="2:62" s="9" customFormat="1" x14ac:dyDescent="0.2">
      <c r="B169" s="10"/>
      <c r="E169" s="19" t="s">
        <v>476</v>
      </c>
      <c r="F169" s="9" t="s">
        <v>477</v>
      </c>
      <c r="G169" s="9" t="s">
        <v>72</v>
      </c>
      <c r="I169" s="9" t="s">
        <v>72</v>
      </c>
      <c r="J169" s="9" t="s">
        <v>74</v>
      </c>
      <c r="K169" s="9" t="s">
        <v>297</v>
      </c>
      <c r="L169" s="10">
        <v>1</v>
      </c>
      <c r="M169" s="9" t="s">
        <v>76</v>
      </c>
      <c r="R169" s="9" t="s">
        <v>299</v>
      </c>
      <c r="S169" s="9" t="s">
        <v>74</v>
      </c>
      <c r="V169" s="10"/>
      <c r="Y169" s="10"/>
      <c r="AB169" s="10"/>
      <c r="AC169" s="10">
        <v>2018</v>
      </c>
      <c r="AD169" s="10" t="s">
        <v>363</v>
      </c>
      <c r="AE169" s="10">
        <v>11</v>
      </c>
      <c r="AI169" s="9" t="s">
        <v>80</v>
      </c>
      <c r="AK169" s="9" t="s">
        <v>303</v>
      </c>
      <c r="AM169" s="21" t="s">
        <v>478</v>
      </c>
      <c r="AN169" s="21"/>
      <c r="AP169" s="10"/>
      <c r="AQ169" s="10"/>
      <c r="AR169" s="10"/>
      <c r="AS169" s="10"/>
      <c r="AT169" s="10"/>
      <c r="AU169" s="10"/>
      <c r="AV169" s="22"/>
      <c r="AW169" s="22"/>
      <c r="AY169" s="10"/>
      <c r="BB169" s="19" t="s">
        <v>476</v>
      </c>
      <c r="BC169" s="9" t="s">
        <v>85</v>
      </c>
      <c r="BD169" s="9" t="s">
        <v>517</v>
      </c>
      <c r="BE169" s="12" t="s">
        <v>518</v>
      </c>
      <c r="BF169" s="12" t="s">
        <v>351</v>
      </c>
      <c r="BJ169" s="12"/>
    </row>
    <row r="170" spans="2:62" s="24" customFormat="1" x14ac:dyDescent="0.2">
      <c r="B170" s="25"/>
      <c r="E170" s="23" t="s">
        <v>122</v>
      </c>
      <c r="F170" s="24" t="s">
        <v>479</v>
      </c>
      <c r="G170" s="24" t="s">
        <v>72</v>
      </c>
      <c r="I170" s="24" t="s">
        <v>72</v>
      </c>
      <c r="J170" s="24" t="s">
        <v>74</v>
      </c>
      <c r="K170" s="24" t="s">
        <v>297</v>
      </c>
      <c r="L170" s="25">
        <v>1</v>
      </c>
      <c r="M170" s="24" t="s">
        <v>76</v>
      </c>
      <c r="R170" s="24" t="s">
        <v>299</v>
      </c>
      <c r="S170" s="24" t="s">
        <v>74</v>
      </c>
      <c r="V170" s="25"/>
      <c r="Y170" s="25"/>
      <c r="AB170" s="25"/>
      <c r="AC170" s="25">
        <v>2018</v>
      </c>
      <c r="AD170" s="25" t="s">
        <v>363</v>
      </c>
      <c r="AE170" s="25">
        <v>12</v>
      </c>
      <c r="AI170" s="24" t="s">
        <v>80</v>
      </c>
      <c r="AK170" s="24" t="s">
        <v>303</v>
      </c>
      <c r="AM170" s="32" t="s">
        <v>480</v>
      </c>
      <c r="AN170" s="32"/>
      <c r="AO170" s="24">
        <v>22</v>
      </c>
      <c r="AP170" s="25">
        <v>15</v>
      </c>
      <c r="AQ170" s="25">
        <v>43</v>
      </c>
      <c r="AR170" s="25">
        <v>55.5</v>
      </c>
      <c r="AS170" s="25">
        <v>96</v>
      </c>
      <c r="AT170" s="25">
        <v>40</v>
      </c>
      <c r="AU170" s="25">
        <v>39.299999999999997</v>
      </c>
      <c r="AV170" s="33"/>
      <c r="AW170" s="33"/>
      <c r="AY170" s="25"/>
      <c r="BB170" s="23" t="s">
        <v>122</v>
      </c>
      <c r="BC170" s="24" t="s">
        <v>85</v>
      </c>
      <c r="BD170" s="24" t="s">
        <v>109</v>
      </c>
      <c r="BE170" s="30" t="s">
        <v>110</v>
      </c>
      <c r="BF170" s="30" t="s">
        <v>129</v>
      </c>
      <c r="BJ170" s="30"/>
    </row>
    <row r="171" spans="2:62" s="34" customFormat="1" x14ac:dyDescent="0.2">
      <c r="B171" s="35"/>
      <c r="E171" s="42" t="s">
        <v>122</v>
      </c>
      <c r="F171" s="34" t="s">
        <v>481</v>
      </c>
      <c r="G171" s="34" t="s">
        <v>72</v>
      </c>
      <c r="I171" s="34" t="s">
        <v>72</v>
      </c>
      <c r="J171" s="34" t="s">
        <v>74</v>
      </c>
      <c r="K171" s="34" t="s">
        <v>297</v>
      </c>
      <c r="L171" s="35">
        <v>1</v>
      </c>
      <c r="M171" s="34" t="s">
        <v>76</v>
      </c>
      <c r="R171" s="34" t="s">
        <v>299</v>
      </c>
      <c r="S171" s="34" t="s">
        <v>74</v>
      </c>
      <c r="V171" s="35"/>
      <c r="Y171" s="35"/>
      <c r="AB171" s="35"/>
      <c r="AC171" s="35">
        <v>2018</v>
      </c>
      <c r="AD171" s="35" t="s">
        <v>363</v>
      </c>
      <c r="AE171" s="35">
        <v>12</v>
      </c>
      <c r="AI171" s="34" t="s">
        <v>80</v>
      </c>
      <c r="AK171" s="34" t="s">
        <v>303</v>
      </c>
      <c r="AM171" s="43" t="s">
        <v>480</v>
      </c>
      <c r="AN171" s="43"/>
      <c r="AO171" s="34">
        <v>22</v>
      </c>
      <c r="AP171" s="35">
        <v>15</v>
      </c>
      <c r="AQ171" s="35">
        <v>43</v>
      </c>
      <c r="AR171" s="35">
        <v>55.5</v>
      </c>
      <c r="AS171" s="35">
        <v>96</v>
      </c>
      <c r="AT171" s="35">
        <v>40</v>
      </c>
      <c r="AU171" s="35">
        <v>39.299999999999997</v>
      </c>
      <c r="AV171" s="44"/>
      <c r="AW171" s="44"/>
      <c r="AY171" s="35"/>
      <c r="BB171" s="42" t="s">
        <v>122</v>
      </c>
      <c r="BC171" s="34" t="s">
        <v>85</v>
      </c>
      <c r="BD171" s="34" t="s">
        <v>109</v>
      </c>
      <c r="BE171" s="41" t="s">
        <v>110</v>
      </c>
      <c r="BF171" s="41" t="s">
        <v>129</v>
      </c>
      <c r="BJ171" s="41"/>
    </row>
    <row r="172" spans="2:62" s="9" customFormat="1" x14ac:dyDescent="0.2">
      <c r="B172" s="10"/>
      <c r="E172" s="19" t="s">
        <v>122</v>
      </c>
      <c r="F172" s="9" t="s">
        <v>482</v>
      </c>
      <c r="G172" s="9" t="s">
        <v>72</v>
      </c>
      <c r="I172" s="9" t="s">
        <v>72</v>
      </c>
      <c r="J172" s="9" t="s">
        <v>74</v>
      </c>
      <c r="K172" s="9" t="s">
        <v>297</v>
      </c>
      <c r="L172" s="10">
        <v>1</v>
      </c>
      <c r="M172" s="9" t="s">
        <v>76</v>
      </c>
      <c r="R172" s="9" t="s">
        <v>299</v>
      </c>
      <c r="S172" s="9" t="s">
        <v>74</v>
      </c>
      <c r="V172" s="10"/>
      <c r="Y172" s="10"/>
      <c r="AB172" s="10"/>
      <c r="AC172" s="10">
        <v>2018</v>
      </c>
      <c r="AD172" s="10" t="s">
        <v>363</v>
      </c>
      <c r="AE172" s="10">
        <v>12</v>
      </c>
      <c r="AI172" s="9" t="s">
        <v>80</v>
      </c>
      <c r="AK172" s="9" t="s">
        <v>303</v>
      </c>
      <c r="AM172" s="21" t="s">
        <v>480</v>
      </c>
      <c r="AN172" s="21"/>
      <c r="AO172" s="9">
        <v>22</v>
      </c>
      <c r="AP172" s="10">
        <v>15</v>
      </c>
      <c r="AQ172" s="10">
        <v>43</v>
      </c>
      <c r="AR172" s="10">
        <v>55.5</v>
      </c>
      <c r="AS172" s="10">
        <v>96</v>
      </c>
      <c r="AT172" s="10">
        <v>40</v>
      </c>
      <c r="AU172" s="10">
        <v>39.299999999999997</v>
      </c>
      <c r="AV172" s="22"/>
      <c r="AW172" s="22"/>
      <c r="AY172" s="10"/>
      <c r="BB172" s="19" t="s">
        <v>122</v>
      </c>
      <c r="BC172" s="9" t="s">
        <v>85</v>
      </c>
      <c r="BD172" s="9" t="s">
        <v>109</v>
      </c>
      <c r="BE172" s="12" t="s">
        <v>110</v>
      </c>
      <c r="BF172" s="12" t="s">
        <v>129</v>
      </c>
      <c r="BJ172" s="12"/>
    </row>
    <row r="173" spans="2:62" s="9" customFormat="1" x14ac:dyDescent="0.2">
      <c r="B173" s="10"/>
      <c r="E173" s="19" t="s">
        <v>122</v>
      </c>
      <c r="F173" s="9" t="s">
        <v>483</v>
      </c>
      <c r="G173" s="9" t="s">
        <v>72</v>
      </c>
      <c r="I173" s="9" t="s">
        <v>72</v>
      </c>
      <c r="J173" s="9" t="s">
        <v>74</v>
      </c>
      <c r="K173" s="9" t="s">
        <v>297</v>
      </c>
      <c r="L173" s="10">
        <v>1</v>
      </c>
      <c r="M173" s="9" t="s">
        <v>76</v>
      </c>
      <c r="R173" s="9" t="s">
        <v>299</v>
      </c>
      <c r="S173" s="9" t="s">
        <v>74</v>
      </c>
      <c r="V173" s="10"/>
      <c r="Y173" s="10"/>
      <c r="AB173" s="10"/>
      <c r="AC173" s="10">
        <v>2018</v>
      </c>
      <c r="AD173" s="10" t="s">
        <v>363</v>
      </c>
      <c r="AE173" s="10">
        <v>12</v>
      </c>
      <c r="AI173" s="9" t="s">
        <v>80</v>
      </c>
      <c r="AK173" s="9" t="s">
        <v>303</v>
      </c>
      <c r="AM173" s="21" t="s">
        <v>480</v>
      </c>
      <c r="AN173" s="21"/>
      <c r="AO173" s="9">
        <v>22</v>
      </c>
      <c r="AP173" s="10">
        <v>15</v>
      </c>
      <c r="AQ173" s="10">
        <v>43</v>
      </c>
      <c r="AR173" s="10">
        <v>55.5</v>
      </c>
      <c r="AS173" s="10">
        <v>96</v>
      </c>
      <c r="AT173" s="10">
        <v>40</v>
      </c>
      <c r="AU173" s="10">
        <v>39.299999999999997</v>
      </c>
      <c r="AV173" s="22"/>
      <c r="AW173" s="22"/>
      <c r="AY173" s="10"/>
      <c r="BB173" s="19" t="s">
        <v>122</v>
      </c>
      <c r="BC173" s="9" t="s">
        <v>85</v>
      </c>
      <c r="BD173" s="9" t="s">
        <v>109</v>
      </c>
      <c r="BE173" s="12" t="s">
        <v>110</v>
      </c>
      <c r="BF173" s="12" t="s">
        <v>129</v>
      </c>
      <c r="BJ173" s="12"/>
    </row>
    <row r="174" spans="2:62" s="9" customFormat="1" x14ac:dyDescent="0.2">
      <c r="B174" s="10"/>
      <c r="E174" s="19" t="s">
        <v>122</v>
      </c>
      <c r="F174" s="9" t="s">
        <v>484</v>
      </c>
      <c r="G174" s="9" t="s">
        <v>72</v>
      </c>
      <c r="I174" s="9" t="s">
        <v>72</v>
      </c>
      <c r="J174" s="9" t="s">
        <v>74</v>
      </c>
      <c r="K174" s="9" t="s">
        <v>297</v>
      </c>
      <c r="L174" s="10">
        <v>1</v>
      </c>
      <c r="M174" s="9" t="s">
        <v>76</v>
      </c>
      <c r="R174" s="9" t="s">
        <v>299</v>
      </c>
      <c r="S174" s="9" t="s">
        <v>74</v>
      </c>
      <c r="V174" s="10"/>
      <c r="Y174" s="10"/>
      <c r="AB174" s="10"/>
      <c r="AC174" s="10">
        <v>2018</v>
      </c>
      <c r="AD174" s="10" t="s">
        <v>363</v>
      </c>
      <c r="AE174" s="10">
        <v>12</v>
      </c>
      <c r="AI174" s="9" t="s">
        <v>80</v>
      </c>
      <c r="AK174" s="9" t="s">
        <v>303</v>
      </c>
      <c r="AM174" s="21" t="s">
        <v>480</v>
      </c>
      <c r="AN174" s="21"/>
      <c r="AO174" s="9">
        <v>22</v>
      </c>
      <c r="AP174" s="10">
        <v>15</v>
      </c>
      <c r="AQ174" s="10">
        <v>43</v>
      </c>
      <c r="AR174" s="10">
        <v>55.5</v>
      </c>
      <c r="AS174" s="10">
        <v>96</v>
      </c>
      <c r="AT174" s="10">
        <v>40</v>
      </c>
      <c r="AU174" s="10">
        <v>39.299999999999997</v>
      </c>
      <c r="AV174" s="22"/>
      <c r="AW174" s="22"/>
      <c r="AY174" s="10"/>
      <c r="BB174" s="19" t="s">
        <v>122</v>
      </c>
      <c r="BC174" s="9" t="s">
        <v>85</v>
      </c>
      <c r="BD174" s="9" t="s">
        <v>109</v>
      </c>
      <c r="BE174" s="12" t="s">
        <v>110</v>
      </c>
      <c r="BF174" s="12" t="s">
        <v>129</v>
      </c>
      <c r="BJ174" s="12"/>
    </row>
    <row r="175" spans="2:62" s="9" customFormat="1" x14ac:dyDescent="0.2">
      <c r="B175" s="10"/>
      <c r="E175" s="19" t="s">
        <v>122</v>
      </c>
      <c r="F175" s="9" t="s">
        <v>485</v>
      </c>
      <c r="G175" s="9" t="s">
        <v>72</v>
      </c>
      <c r="I175" s="9" t="s">
        <v>72</v>
      </c>
      <c r="J175" s="9" t="s">
        <v>74</v>
      </c>
      <c r="K175" s="9" t="s">
        <v>297</v>
      </c>
      <c r="L175" s="10">
        <v>1</v>
      </c>
      <c r="M175" s="9" t="s">
        <v>76</v>
      </c>
      <c r="R175" s="9" t="s">
        <v>299</v>
      </c>
      <c r="S175" s="9" t="s">
        <v>74</v>
      </c>
      <c r="V175" s="10"/>
      <c r="Y175" s="10"/>
      <c r="AB175" s="10"/>
      <c r="AC175" s="10">
        <v>2018</v>
      </c>
      <c r="AD175" s="10" t="s">
        <v>363</v>
      </c>
      <c r="AE175" s="10">
        <v>12</v>
      </c>
      <c r="AI175" s="9" t="s">
        <v>80</v>
      </c>
      <c r="AK175" s="9" t="s">
        <v>303</v>
      </c>
      <c r="AM175" s="21" t="s">
        <v>480</v>
      </c>
      <c r="AN175" s="21"/>
      <c r="AO175" s="9">
        <v>22</v>
      </c>
      <c r="AP175" s="10">
        <v>15</v>
      </c>
      <c r="AQ175" s="10">
        <v>43</v>
      </c>
      <c r="AR175" s="10">
        <v>55.5</v>
      </c>
      <c r="AS175" s="10">
        <v>96</v>
      </c>
      <c r="AT175" s="10">
        <v>40</v>
      </c>
      <c r="AU175" s="10">
        <v>39.299999999999997</v>
      </c>
      <c r="AV175" s="22"/>
      <c r="AW175" s="22"/>
      <c r="AY175" s="10"/>
      <c r="BB175" s="19" t="s">
        <v>122</v>
      </c>
      <c r="BC175" s="9" t="s">
        <v>85</v>
      </c>
      <c r="BD175" s="9" t="s">
        <v>109</v>
      </c>
      <c r="BE175" s="12" t="s">
        <v>110</v>
      </c>
      <c r="BF175" s="12" t="s">
        <v>129</v>
      </c>
      <c r="BJ175" s="12"/>
    </row>
    <row r="176" spans="2:62" s="9" customFormat="1" x14ac:dyDescent="0.2">
      <c r="B176" s="10"/>
      <c r="E176" s="19" t="s">
        <v>122</v>
      </c>
      <c r="F176" s="9" t="s">
        <v>486</v>
      </c>
      <c r="G176" s="9" t="s">
        <v>72</v>
      </c>
      <c r="I176" s="9" t="s">
        <v>72</v>
      </c>
      <c r="J176" s="9" t="s">
        <v>74</v>
      </c>
      <c r="K176" s="9" t="s">
        <v>297</v>
      </c>
      <c r="L176" s="10">
        <v>1</v>
      </c>
      <c r="M176" s="9" t="s">
        <v>76</v>
      </c>
      <c r="R176" s="9" t="s">
        <v>299</v>
      </c>
      <c r="S176" s="9" t="s">
        <v>74</v>
      </c>
      <c r="V176" s="10"/>
      <c r="Y176" s="10"/>
      <c r="AB176" s="10"/>
      <c r="AC176" s="10">
        <v>2018</v>
      </c>
      <c r="AD176" s="10" t="s">
        <v>363</v>
      </c>
      <c r="AE176" s="10">
        <v>12</v>
      </c>
      <c r="AI176" s="9" t="s">
        <v>80</v>
      </c>
      <c r="AK176" s="9" t="s">
        <v>303</v>
      </c>
      <c r="AM176" s="21" t="s">
        <v>480</v>
      </c>
      <c r="AN176" s="21"/>
      <c r="AO176" s="9">
        <v>22</v>
      </c>
      <c r="AP176" s="10">
        <v>15</v>
      </c>
      <c r="AQ176" s="10">
        <v>43</v>
      </c>
      <c r="AR176" s="10">
        <v>55.5</v>
      </c>
      <c r="AS176" s="10">
        <v>96</v>
      </c>
      <c r="AT176" s="10">
        <v>40</v>
      </c>
      <c r="AU176" s="10">
        <v>39.299999999999997</v>
      </c>
      <c r="AV176" s="22"/>
      <c r="AW176" s="22"/>
      <c r="AY176" s="10"/>
      <c r="BB176" s="19" t="s">
        <v>122</v>
      </c>
      <c r="BC176" s="9" t="s">
        <v>85</v>
      </c>
      <c r="BD176" s="9" t="s">
        <v>109</v>
      </c>
      <c r="BE176" s="12" t="s">
        <v>110</v>
      </c>
      <c r="BF176" s="12" t="s">
        <v>129</v>
      </c>
      <c r="BJ176" s="12"/>
    </row>
    <row r="177" spans="2:62" s="9" customFormat="1" x14ac:dyDescent="0.2">
      <c r="B177" s="10"/>
      <c r="E177" s="19" t="s">
        <v>122</v>
      </c>
      <c r="F177" s="9" t="s">
        <v>487</v>
      </c>
      <c r="G177" s="9" t="s">
        <v>72</v>
      </c>
      <c r="I177" s="9" t="s">
        <v>72</v>
      </c>
      <c r="J177" s="9" t="s">
        <v>74</v>
      </c>
      <c r="K177" s="9" t="s">
        <v>297</v>
      </c>
      <c r="L177" s="10">
        <v>1</v>
      </c>
      <c r="M177" s="9" t="s">
        <v>76</v>
      </c>
      <c r="R177" s="9" t="s">
        <v>299</v>
      </c>
      <c r="S177" s="9" t="s">
        <v>74</v>
      </c>
      <c r="V177" s="10"/>
      <c r="Y177" s="10"/>
      <c r="AB177" s="10"/>
      <c r="AC177" s="10">
        <v>2018</v>
      </c>
      <c r="AD177" s="10" t="s">
        <v>363</v>
      </c>
      <c r="AE177" s="10">
        <v>12</v>
      </c>
      <c r="AI177" s="9" t="s">
        <v>80</v>
      </c>
      <c r="AK177" s="9" t="s">
        <v>303</v>
      </c>
      <c r="AM177" s="21" t="s">
        <v>480</v>
      </c>
      <c r="AN177" s="21"/>
      <c r="AO177" s="9">
        <v>22</v>
      </c>
      <c r="AP177" s="10">
        <v>15</v>
      </c>
      <c r="AQ177" s="10">
        <v>43</v>
      </c>
      <c r="AR177" s="10">
        <v>55.5</v>
      </c>
      <c r="AS177" s="10">
        <v>96</v>
      </c>
      <c r="AT177" s="10">
        <v>40</v>
      </c>
      <c r="AU177" s="10">
        <v>39.299999999999997</v>
      </c>
      <c r="AV177" s="22"/>
      <c r="AW177" s="22"/>
      <c r="AY177" s="10"/>
      <c r="BB177" s="19" t="s">
        <v>122</v>
      </c>
      <c r="BC177" s="9" t="s">
        <v>85</v>
      </c>
      <c r="BD177" s="9" t="s">
        <v>109</v>
      </c>
      <c r="BE177" s="12" t="s">
        <v>110</v>
      </c>
      <c r="BF177" s="12" t="s">
        <v>129</v>
      </c>
      <c r="BJ177" s="12"/>
    </row>
    <row r="178" spans="2:62" s="9" customFormat="1" x14ac:dyDescent="0.2">
      <c r="B178" s="10"/>
      <c r="E178" s="19" t="s">
        <v>122</v>
      </c>
      <c r="F178" s="9" t="s">
        <v>488</v>
      </c>
      <c r="G178" s="9" t="s">
        <v>72</v>
      </c>
      <c r="I178" s="9" t="s">
        <v>72</v>
      </c>
      <c r="J178" s="9" t="s">
        <v>74</v>
      </c>
      <c r="K178" s="9" t="s">
        <v>297</v>
      </c>
      <c r="L178" s="10">
        <v>1</v>
      </c>
      <c r="M178" s="9" t="s">
        <v>76</v>
      </c>
      <c r="R178" s="9" t="s">
        <v>299</v>
      </c>
      <c r="S178" s="9" t="s">
        <v>74</v>
      </c>
      <c r="V178" s="10"/>
      <c r="Y178" s="10"/>
      <c r="AB178" s="10"/>
      <c r="AC178" s="10">
        <v>2018</v>
      </c>
      <c r="AD178" s="10" t="s">
        <v>363</v>
      </c>
      <c r="AE178" s="10">
        <v>12</v>
      </c>
      <c r="AI178" s="9" t="s">
        <v>80</v>
      </c>
      <c r="AK178" s="9" t="s">
        <v>303</v>
      </c>
      <c r="AM178" s="21" t="s">
        <v>480</v>
      </c>
      <c r="AN178" s="21"/>
      <c r="AO178" s="9">
        <v>22</v>
      </c>
      <c r="AP178" s="10">
        <v>15</v>
      </c>
      <c r="AQ178" s="10">
        <v>43</v>
      </c>
      <c r="AR178" s="10">
        <v>55.5</v>
      </c>
      <c r="AS178" s="10">
        <v>96</v>
      </c>
      <c r="AT178" s="10">
        <v>40</v>
      </c>
      <c r="AU178" s="10">
        <v>39.299999999999997</v>
      </c>
      <c r="AV178" s="22"/>
      <c r="AW178" s="22"/>
      <c r="AY178" s="10"/>
      <c r="BB178" s="19" t="s">
        <v>122</v>
      </c>
      <c r="BC178" s="9" t="s">
        <v>85</v>
      </c>
      <c r="BD178" s="9" t="s">
        <v>109</v>
      </c>
      <c r="BE178" s="12" t="s">
        <v>110</v>
      </c>
      <c r="BF178" s="12" t="s">
        <v>129</v>
      </c>
      <c r="BJ178" s="12"/>
    </row>
    <row r="179" spans="2:62" s="34" customFormat="1" x14ac:dyDescent="0.2">
      <c r="B179" s="35"/>
      <c r="E179" s="42" t="s">
        <v>136</v>
      </c>
      <c r="F179" s="34" t="s">
        <v>489</v>
      </c>
      <c r="G179" s="34" t="s">
        <v>72</v>
      </c>
      <c r="I179" s="34" t="s">
        <v>72</v>
      </c>
      <c r="J179" s="34" t="s">
        <v>74</v>
      </c>
      <c r="K179" s="34" t="s">
        <v>297</v>
      </c>
      <c r="L179" s="35">
        <v>1</v>
      </c>
      <c r="M179" s="34" t="s">
        <v>76</v>
      </c>
      <c r="R179" s="34" t="s">
        <v>299</v>
      </c>
      <c r="S179" s="34" t="s">
        <v>74</v>
      </c>
      <c r="V179" s="35"/>
      <c r="Y179" s="35"/>
      <c r="AB179" s="35"/>
      <c r="AC179" s="35">
        <v>2018</v>
      </c>
      <c r="AD179" s="35" t="s">
        <v>363</v>
      </c>
      <c r="AE179" s="35">
        <v>12</v>
      </c>
      <c r="AI179" s="34" t="s">
        <v>80</v>
      </c>
      <c r="AK179" s="34" t="s">
        <v>303</v>
      </c>
      <c r="AM179" s="43" t="s">
        <v>480</v>
      </c>
      <c r="AN179" s="43"/>
      <c r="AO179" s="34">
        <v>22</v>
      </c>
      <c r="AP179" s="35">
        <v>15</v>
      </c>
      <c r="AQ179" s="35">
        <v>43</v>
      </c>
      <c r="AR179" s="35">
        <v>55.5</v>
      </c>
      <c r="AS179" s="35">
        <v>96</v>
      </c>
      <c r="AT179" s="35">
        <v>40</v>
      </c>
      <c r="AU179" s="35">
        <v>39.299999999999997</v>
      </c>
      <c r="AV179" s="44"/>
      <c r="AW179" s="44"/>
      <c r="AY179" s="35"/>
      <c r="BB179" s="42" t="s">
        <v>511</v>
      </c>
      <c r="BC179" s="34" t="s">
        <v>85</v>
      </c>
      <c r="BD179" s="34" t="s">
        <v>109</v>
      </c>
      <c r="BE179" s="41" t="s">
        <v>110</v>
      </c>
      <c r="BF179" s="41" t="s">
        <v>512</v>
      </c>
      <c r="BJ179" s="41"/>
    </row>
    <row r="180" spans="2:62" s="24" customFormat="1" x14ac:dyDescent="0.2">
      <c r="B180" s="25"/>
      <c r="E180" s="23" t="s">
        <v>136</v>
      </c>
      <c r="F180" s="24" t="s">
        <v>490</v>
      </c>
      <c r="G180" s="24" t="s">
        <v>72</v>
      </c>
      <c r="I180" s="24" t="s">
        <v>72</v>
      </c>
      <c r="J180" s="24" t="s">
        <v>74</v>
      </c>
      <c r="K180" s="24" t="s">
        <v>297</v>
      </c>
      <c r="L180" s="25">
        <v>1</v>
      </c>
      <c r="M180" s="24" t="s">
        <v>76</v>
      </c>
      <c r="R180" s="24" t="s">
        <v>299</v>
      </c>
      <c r="S180" s="24" t="s">
        <v>74</v>
      </c>
      <c r="V180" s="25"/>
      <c r="Y180" s="25"/>
      <c r="AB180" s="25"/>
      <c r="AC180" s="25">
        <v>2018</v>
      </c>
      <c r="AD180" s="25" t="s">
        <v>363</v>
      </c>
      <c r="AE180" s="25">
        <v>12</v>
      </c>
      <c r="AI180" s="24" t="s">
        <v>80</v>
      </c>
      <c r="AK180" s="24" t="s">
        <v>303</v>
      </c>
      <c r="AM180" s="32" t="s">
        <v>480</v>
      </c>
      <c r="AN180" s="32"/>
      <c r="AO180" s="24">
        <v>22</v>
      </c>
      <c r="AP180" s="25">
        <v>15</v>
      </c>
      <c r="AQ180" s="25">
        <v>43</v>
      </c>
      <c r="AR180" s="25">
        <v>55.5</v>
      </c>
      <c r="AS180" s="25">
        <v>96</v>
      </c>
      <c r="AT180" s="25">
        <v>40</v>
      </c>
      <c r="AU180" s="25">
        <v>39.299999999999997</v>
      </c>
      <c r="AV180" s="33"/>
      <c r="AW180" s="33"/>
      <c r="AY180" s="25"/>
      <c r="BB180" s="23" t="s">
        <v>511</v>
      </c>
      <c r="BC180" s="24" t="s">
        <v>85</v>
      </c>
      <c r="BD180" s="24" t="s">
        <v>109</v>
      </c>
      <c r="BE180" s="30" t="s">
        <v>110</v>
      </c>
      <c r="BF180" s="30" t="s">
        <v>512</v>
      </c>
      <c r="BJ180" s="30"/>
    </row>
    <row r="181" spans="2:62" s="9" customFormat="1" x14ac:dyDescent="0.2">
      <c r="B181" s="10"/>
      <c r="E181" s="19" t="s">
        <v>136</v>
      </c>
      <c r="F181" s="9" t="s">
        <v>491</v>
      </c>
      <c r="G181" s="9" t="s">
        <v>72</v>
      </c>
      <c r="I181" s="9" t="s">
        <v>72</v>
      </c>
      <c r="J181" s="9" t="s">
        <v>74</v>
      </c>
      <c r="K181" s="9" t="s">
        <v>297</v>
      </c>
      <c r="L181" s="10">
        <v>1</v>
      </c>
      <c r="M181" s="9" t="s">
        <v>76</v>
      </c>
      <c r="R181" s="9" t="s">
        <v>299</v>
      </c>
      <c r="S181" s="9" t="s">
        <v>74</v>
      </c>
      <c r="V181" s="10"/>
      <c r="Y181" s="10"/>
      <c r="AB181" s="10"/>
      <c r="AC181" s="10">
        <v>2018</v>
      </c>
      <c r="AD181" s="10" t="s">
        <v>363</v>
      </c>
      <c r="AE181" s="10">
        <v>12</v>
      </c>
      <c r="AI181" s="9" t="s">
        <v>80</v>
      </c>
      <c r="AK181" s="9" t="s">
        <v>303</v>
      </c>
      <c r="AM181" s="21" t="s">
        <v>480</v>
      </c>
      <c r="AN181" s="21"/>
      <c r="AO181" s="9">
        <v>22</v>
      </c>
      <c r="AP181" s="10">
        <v>15</v>
      </c>
      <c r="AQ181" s="10">
        <v>43</v>
      </c>
      <c r="AR181" s="10">
        <v>55.5</v>
      </c>
      <c r="AS181" s="10">
        <v>96</v>
      </c>
      <c r="AT181" s="10">
        <v>40</v>
      </c>
      <c r="AU181" s="10">
        <v>39.299999999999997</v>
      </c>
      <c r="AV181" s="22"/>
      <c r="AW181" s="22"/>
      <c r="AY181" s="10"/>
      <c r="BB181" s="19" t="s">
        <v>511</v>
      </c>
      <c r="BC181" s="9" t="s">
        <v>85</v>
      </c>
      <c r="BD181" s="9" t="s">
        <v>109</v>
      </c>
      <c r="BE181" s="12" t="s">
        <v>110</v>
      </c>
      <c r="BF181" s="12" t="s">
        <v>512</v>
      </c>
      <c r="BJ181" s="12"/>
    </row>
    <row r="182" spans="2:62" s="24" customFormat="1" x14ac:dyDescent="0.2">
      <c r="B182" s="25"/>
      <c r="E182" s="23" t="s">
        <v>136</v>
      </c>
      <c r="F182" s="24" t="s">
        <v>492</v>
      </c>
      <c r="G182" s="24" t="s">
        <v>72</v>
      </c>
      <c r="I182" s="24" t="s">
        <v>72</v>
      </c>
      <c r="J182" s="24" t="s">
        <v>74</v>
      </c>
      <c r="K182" s="24" t="s">
        <v>297</v>
      </c>
      <c r="L182" s="25">
        <v>1</v>
      </c>
      <c r="M182" s="24" t="s">
        <v>76</v>
      </c>
      <c r="R182" s="24" t="s">
        <v>299</v>
      </c>
      <c r="S182" s="24" t="s">
        <v>74</v>
      </c>
      <c r="V182" s="25"/>
      <c r="Y182" s="25"/>
      <c r="AB182" s="25"/>
      <c r="AC182" s="25">
        <v>2018</v>
      </c>
      <c r="AD182" s="25" t="s">
        <v>363</v>
      </c>
      <c r="AE182" s="25">
        <v>12</v>
      </c>
      <c r="AI182" s="24" t="s">
        <v>80</v>
      </c>
      <c r="AK182" s="24" t="s">
        <v>303</v>
      </c>
      <c r="AM182" s="32" t="s">
        <v>480</v>
      </c>
      <c r="AN182" s="32"/>
      <c r="AO182" s="24">
        <v>22</v>
      </c>
      <c r="AP182" s="25">
        <v>15</v>
      </c>
      <c r="AQ182" s="25">
        <v>43</v>
      </c>
      <c r="AR182" s="25">
        <v>55.5</v>
      </c>
      <c r="AS182" s="25">
        <v>96</v>
      </c>
      <c r="AT182" s="25">
        <v>40</v>
      </c>
      <c r="AU182" s="25">
        <v>39.299999999999997</v>
      </c>
      <c r="AV182" s="33"/>
      <c r="AW182" s="33"/>
      <c r="AY182" s="25"/>
      <c r="BB182" s="23" t="s">
        <v>511</v>
      </c>
      <c r="BC182" s="24" t="s">
        <v>85</v>
      </c>
      <c r="BD182" s="24" t="s">
        <v>109</v>
      </c>
      <c r="BE182" s="30" t="s">
        <v>110</v>
      </c>
      <c r="BF182" s="30" t="s">
        <v>512</v>
      </c>
      <c r="BJ182" s="30"/>
    </row>
    <row r="183" spans="2:62" s="9" customFormat="1" x14ac:dyDescent="0.2">
      <c r="B183" s="10"/>
      <c r="E183" s="19" t="s">
        <v>136</v>
      </c>
      <c r="F183" s="9" t="s">
        <v>493</v>
      </c>
      <c r="G183" s="9" t="s">
        <v>72</v>
      </c>
      <c r="I183" s="9" t="s">
        <v>72</v>
      </c>
      <c r="J183" s="9" t="s">
        <v>74</v>
      </c>
      <c r="K183" s="9" t="s">
        <v>297</v>
      </c>
      <c r="L183" s="10">
        <v>1</v>
      </c>
      <c r="M183" s="9" t="s">
        <v>76</v>
      </c>
      <c r="R183" s="9" t="s">
        <v>299</v>
      </c>
      <c r="S183" s="9" t="s">
        <v>74</v>
      </c>
      <c r="V183" s="10"/>
      <c r="Y183" s="10"/>
      <c r="AB183" s="10"/>
      <c r="AC183" s="10">
        <v>2018</v>
      </c>
      <c r="AD183" s="10" t="s">
        <v>363</v>
      </c>
      <c r="AE183" s="10">
        <v>12</v>
      </c>
      <c r="AI183" s="9" t="s">
        <v>80</v>
      </c>
      <c r="AK183" s="9" t="s">
        <v>303</v>
      </c>
      <c r="AM183" s="21" t="s">
        <v>480</v>
      </c>
      <c r="AN183" s="21"/>
      <c r="AO183" s="9">
        <v>22</v>
      </c>
      <c r="AP183" s="10">
        <v>15</v>
      </c>
      <c r="AQ183" s="10">
        <v>43</v>
      </c>
      <c r="AR183" s="10">
        <v>55.5</v>
      </c>
      <c r="AS183" s="10">
        <v>96</v>
      </c>
      <c r="AT183" s="10">
        <v>40</v>
      </c>
      <c r="AU183" s="10">
        <v>39.299999999999997</v>
      </c>
      <c r="AV183" s="22"/>
      <c r="AW183" s="22"/>
      <c r="AY183" s="10"/>
      <c r="BB183" s="19" t="s">
        <v>511</v>
      </c>
      <c r="BC183" s="9" t="s">
        <v>85</v>
      </c>
      <c r="BD183" s="9" t="s">
        <v>109</v>
      </c>
      <c r="BE183" s="12" t="s">
        <v>110</v>
      </c>
      <c r="BF183" s="12" t="s">
        <v>512</v>
      </c>
      <c r="BJ183" s="12"/>
    </row>
    <row r="184" spans="2:62" s="9" customFormat="1" x14ac:dyDescent="0.2">
      <c r="B184" s="10"/>
      <c r="E184" s="19" t="s">
        <v>136</v>
      </c>
      <c r="F184" s="9" t="s">
        <v>494</v>
      </c>
      <c r="G184" s="9" t="s">
        <v>72</v>
      </c>
      <c r="I184" s="9" t="s">
        <v>72</v>
      </c>
      <c r="J184" s="9" t="s">
        <v>74</v>
      </c>
      <c r="K184" s="9" t="s">
        <v>297</v>
      </c>
      <c r="L184" s="10">
        <v>1</v>
      </c>
      <c r="M184" s="9" t="s">
        <v>76</v>
      </c>
      <c r="R184" s="9" t="s">
        <v>299</v>
      </c>
      <c r="S184" s="9" t="s">
        <v>74</v>
      </c>
      <c r="V184" s="10"/>
      <c r="Y184" s="10"/>
      <c r="AB184" s="10"/>
      <c r="AC184" s="10">
        <v>2018</v>
      </c>
      <c r="AD184" s="10" t="s">
        <v>363</v>
      </c>
      <c r="AE184" s="10">
        <v>12</v>
      </c>
      <c r="AI184" s="9" t="s">
        <v>80</v>
      </c>
      <c r="AK184" s="9" t="s">
        <v>303</v>
      </c>
      <c r="AM184" s="21" t="s">
        <v>480</v>
      </c>
      <c r="AN184" s="21"/>
      <c r="AO184" s="9">
        <v>22</v>
      </c>
      <c r="AP184" s="10">
        <v>15</v>
      </c>
      <c r="AQ184" s="10">
        <v>43</v>
      </c>
      <c r="AR184" s="10">
        <v>55.5</v>
      </c>
      <c r="AS184" s="10">
        <v>96</v>
      </c>
      <c r="AT184" s="10">
        <v>40</v>
      </c>
      <c r="AU184" s="10">
        <v>39.299999999999997</v>
      </c>
      <c r="AV184" s="22"/>
      <c r="AW184" s="22"/>
      <c r="AY184" s="10"/>
      <c r="BB184" s="19" t="s">
        <v>511</v>
      </c>
      <c r="BC184" s="9" t="s">
        <v>85</v>
      </c>
      <c r="BD184" s="9" t="s">
        <v>109</v>
      </c>
      <c r="BE184" s="12" t="s">
        <v>110</v>
      </c>
      <c r="BF184" s="12" t="s">
        <v>512</v>
      </c>
      <c r="BJ184" s="12"/>
    </row>
    <row r="185" spans="2:62" s="24" customFormat="1" x14ac:dyDescent="0.2">
      <c r="B185" s="25"/>
      <c r="E185" s="23" t="s">
        <v>122</v>
      </c>
      <c r="F185" s="24" t="s">
        <v>495</v>
      </c>
      <c r="G185" s="24" t="s">
        <v>72</v>
      </c>
      <c r="I185" s="24" t="s">
        <v>72</v>
      </c>
      <c r="J185" s="24" t="s">
        <v>74</v>
      </c>
      <c r="K185" s="24" t="s">
        <v>297</v>
      </c>
      <c r="L185" s="25">
        <v>1</v>
      </c>
      <c r="M185" s="24" t="s">
        <v>76</v>
      </c>
      <c r="R185" s="24" t="s">
        <v>299</v>
      </c>
      <c r="S185" s="24" t="s">
        <v>74</v>
      </c>
      <c r="V185" s="25"/>
      <c r="Y185" s="25"/>
      <c r="AB185" s="25"/>
      <c r="AC185" s="25">
        <v>2018</v>
      </c>
      <c r="AD185" s="25" t="s">
        <v>363</v>
      </c>
      <c r="AE185" s="25">
        <v>12</v>
      </c>
      <c r="AI185" s="24" t="s">
        <v>80</v>
      </c>
      <c r="AK185" s="24" t="s">
        <v>303</v>
      </c>
      <c r="AM185" s="32" t="s">
        <v>496</v>
      </c>
      <c r="AN185" s="32"/>
      <c r="AO185" s="24">
        <v>29</v>
      </c>
      <c r="AP185" s="25">
        <v>15</v>
      </c>
      <c r="AQ185" s="25">
        <v>50</v>
      </c>
      <c r="AR185" s="25">
        <v>50</v>
      </c>
      <c r="AS185" s="25">
        <v>95</v>
      </c>
      <c r="AT185" s="25">
        <v>59</v>
      </c>
      <c r="AU185" s="25">
        <v>47.5</v>
      </c>
      <c r="AV185" s="33"/>
      <c r="AW185" s="33"/>
      <c r="AY185" s="25"/>
      <c r="BB185" s="23" t="s">
        <v>122</v>
      </c>
      <c r="BC185" s="24" t="s">
        <v>85</v>
      </c>
      <c r="BD185" s="24" t="s">
        <v>109</v>
      </c>
      <c r="BE185" s="30" t="s">
        <v>110</v>
      </c>
      <c r="BF185" s="30" t="s">
        <v>129</v>
      </c>
      <c r="BJ185" s="30"/>
    </row>
    <row r="186" spans="2:62" s="24" customFormat="1" x14ac:dyDescent="0.2">
      <c r="B186" s="25"/>
      <c r="E186" s="23" t="s">
        <v>136</v>
      </c>
      <c r="F186" s="24" t="s">
        <v>497</v>
      </c>
      <c r="G186" s="24" t="s">
        <v>72</v>
      </c>
      <c r="I186" s="24" t="s">
        <v>72</v>
      </c>
      <c r="J186" s="24" t="s">
        <v>74</v>
      </c>
      <c r="K186" s="24" t="s">
        <v>297</v>
      </c>
      <c r="L186" s="25">
        <v>1</v>
      </c>
      <c r="M186" s="24" t="s">
        <v>76</v>
      </c>
      <c r="R186" s="24" t="s">
        <v>299</v>
      </c>
      <c r="S186" s="24" t="s">
        <v>74</v>
      </c>
      <c r="V186" s="25"/>
      <c r="Y186" s="25"/>
      <c r="AB186" s="25"/>
      <c r="AC186" s="25">
        <v>2018</v>
      </c>
      <c r="AD186" s="25" t="s">
        <v>363</v>
      </c>
      <c r="AE186" s="25">
        <v>12</v>
      </c>
      <c r="AI186" s="24" t="s">
        <v>80</v>
      </c>
      <c r="AK186" s="24" t="s">
        <v>303</v>
      </c>
      <c r="AM186" s="32" t="s">
        <v>498</v>
      </c>
      <c r="AN186" s="32"/>
      <c r="AO186" s="24">
        <v>605</v>
      </c>
      <c r="AP186" s="25"/>
      <c r="AQ186" s="25"/>
      <c r="AR186" s="25"/>
      <c r="AS186" s="25"/>
      <c r="AT186" s="25"/>
      <c r="AU186" s="25"/>
      <c r="AV186" s="33">
        <v>15.83958</v>
      </c>
      <c r="AW186" s="33">
        <v>-95.967290000000006</v>
      </c>
      <c r="AY186" s="25"/>
      <c r="BB186" s="23" t="s">
        <v>511</v>
      </c>
      <c r="BC186" s="24" t="s">
        <v>85</v>
      </c>
      <c r="BD186" s="24" t="s">
        <v>109</v>
      </c>
      <c r="BE186" s="30" t="s">
        <v>110</v>
      </c>
      <c r="BF186" s="30" t="s">
        <v>512</v>
      </c>
      <c r="BJ186" s="30"/>
    </row>
    <row r="187" spans="2:62" s="34" customFormat="1" x14ac:dyDescent="0.2">
      <c r="B187" s="35"/>
      <c r="E187" s="42" t="s">
        <v>136</v>
      </c>
      <c r="F187" s="34" t="s">
        <v>499</v>
      </c>
      <c r="G187" s="34" t="s">
        <v>72</v>
      </c>
      <c r="I187" s="34" t="s">
        <v>72</v>
      </c>
      <c r="J187" s="34" t="s">
        <v>74</v>
      </c>
      <c r="K187" s="34" t="s">
        <v>297</v>
      </c>
      <c r="L187" s="35">
        <v>1</v>
      </c>
      <c r="M187" s="34" t="s">
        <v>76</v>
      </c>
      <c r="R187" s="34" t="s">
        <v>299</v>
      </c>
      <c r="S187" s="34" t="s">
        <v>74</v>
      </c>
      <c r="V187" s="35"/>
      <c r="Y187" s="35"/>
      <c r="AB187" s="35"/>
      <c r="AC187" s="35">
        <v>2018</v>
      </c>
      <c r="AD187" s="35" t="s">
        <v>363</v>
      </c>
      <c r="AE187" s="35">
        <v>12</v>
      </c>
      <c r="AI187" s="34" t="s">
        <v>80</v>
      </c>
      <c r="AK187" s="34" t="s">
        <v>303</v>
      </c>
      <c r="AM187" s="43" t="s">
        <v>498</v>
      </c>
      <c r="AN187" s="43"/>
      <c r="AO187" s="34">
        <v>605</v>
      </c>
      <c r="AP187" s="35"/>
      <c r="AQ187" s="35"/>
      <c r="AR187" s="35"/>
      <c r="AS187" s="35"/>
      <c r="AT187" s="35"/>
      <c r="AU187" s="35"/>
      <c r="AV187" s="44">
        <v>15.83958</v>
      </c>
      <c r="AW187" s="44">
        <v>-95.967290000000006</v>
      </c>
      <c r="AY187" s="35"/>
      <c r="BB187" s="42" t="s">
        <v>511</v>
      </c>
      <c r="BC187" s="34" t="s">
        <v>85</v>
      </c>
      <c r="BD187" s="34" t="s">
        <v>109</v>
      </c>
      <c r="BE187" s="41" t="s">
        <v>110</v>
      </c>
      <c r="BF187" s="41" t="s">
        <v>512</v>
      </c>
      <c r="BJ187" s="41"/>
    </row>
    <row r="188" spans="2:62" s="24" customFormat="1" x14ac:dyDescent="0.2">
      <c r="B188" s="25"/>
      <c r="E188" s="23" t="s">
        <v>136</v>
      </c>
      <c r="F188" s="24" t="s">
        <v>500</v>
      </c>
      <c r="G188" s="24" t="s">
        <v>72</v>
      </c>
      <c r="I188" s="24" t="s">
        <v>72</v>
      </c>
      <c r="J188" s="24" t="s">
        <v>74</v>
      </c>
      <c r="K188" s="24" t="s">
        <v>297</v>
      </c>
      <c r="L188" s="25">
        <v>1</v>
      </c>
      <c r="M188" s="24" t="s">
        <v>76</v>
      </c>
      <c r="R188" s="24" t="s">
        <v>299</v>
      </c>
      <c r="S188" s="24" t="s">
        <v>74</v>
      </c>
      <c r="V188" s="25"/>
      <c r="Y188" s="25"/>
      <c r="AB188" s="25"/>
      <c r="AC188" s="25">
        <v>2018</v>
      </c>
      <c r="AD188" s="25" t="s">
        <v>363</v>
      </c>
      <c r="AE188" s="25">
        <v>12</v>
      </c>
      <c r="AI188" s="24" t="s">
        <v>80</v>
      </c>
      <c r="AK188" s="24" t="s">
        <v>303</v>
      </c>
      <c r="AM188" s="32" t="s">
        <v>498</v>
      </c>
      <c r="AN188" s="32"/>
      <c r="AO188" s="24">
        <v>605</v>
      </c>
      <c r="AP188" s="25"/>
      <c r="AQ188" s="25"/>
      <c r="AR188" s="25"/>
      <c r="AS188" s="25"/>
      <c r="AT188" s="25"/>
      <c r="AU188" s="25"/>
      <c r="AV188" s="33">
        <v>15.83958</v>
      </c>
      <c r="AW188" s="33">
        <v>-95.967290000000006</v>
      </c>
      <c r="AY188" s="25"/>
      <c r="BB188" s="23" t="s">
        <v>511</v>
      </c>
      <c r="BC188" s="24" t="s">
        <v>85</v>
      </c>
      <c r="BD188" s="24" t="s">
        <v>109</v>
      </c>
      <c r="BE188" s="30" t="s">
        <v>110</v>
      </c>
      <c r="BF188" s="30" t="s">
        <v>512</v>
      </c>
      <c r="BJ188" s="30"/>
    </row>
    <row r="189" spans="2:62" s="9" customFormat="1" x14ac:dyDescent="0.2">
      <c r="B189" s="10"/>
      <c r="E189" s="19" t="s">
        <v>136</v>
      </c>
      <c r="F189" s="9" t="s">
        <v>501</v>
      </c>
      <c r="G189" s="9" t="s">
        <v>72</v>
      </c>
      <c r="I189" s="9" t="s">
        <v>72</v>
      </c>
      <c r="J189" s="9" t="s">
        <v>74</v>
      </c>
      <c r="K189" s="9" t="s">
        <v>297</v>
      </c>
      <c r="L189" s="10">
        <v>1</v>
      </c>
      <c r="M189" s="9" t="s">
        <v>76</v>
      </c>
      <c r="R189" s="9" t="s">
        <v>299</v>
      </c>
      <c r="S189" s="9" t="s">
        <v>74</v>
      </c>
      <c r="V189" s="10"/>
      <c r="Y189" s="10"/>
      <c r="AB189" s="10"/>
      <c r="AC189" s="10">
        <v>2018</v>
      </c>
      <c r="AD189" s="10" t="s">
        <v>363</v>
      </c>
      <c r="AE189" s="10">
        <v>12</v>
      </c>
      <c r="AI189" s="9" t="s">
        <v>80</v>
      </c>
      <c r="AK189" s="9" t="s">
        <v>303</v>
      </c>
      <c r="AM189" s="21" t="s">
        <v>498</v>
      </c>
      <c r="AN189" s="21"/>
      <c r="AO189" s="9">
        <v>605</v>
      </c>
      <c r="AP189" s="10"/>
      <c r="AQ189" s="10"/>
      <c r="AR189" s="10"/>
      <c r="AS189" s="10"/>
      <c r="AT189" s="10"/>
      <c r="AU189" s="10"/>
      <c r="AV189" s="22">
        <v>15.83958</v>
      </c>
      <c r="AW189" s="22">
        <v>-95.967290000000006</v>
      </c>
      <c r="AY189" s="10"/>
      <c r="BB189" s="19" t="s">
        <v>511</v>
      </c>
      <c r="BC189" s="9" t="s">
        <v>85</v>
      </c>
      <c r="BD189" s="9" t="s">
        <v>109</v>
      </c>
      <c r="BE189" s="12" t="s">
        <v>110</v>
      </c>
      <c r="BF189" s="12" t="s">
        <v>512</v>
      </c>
      <c r="BJ189" s="12"/>
    </row>
    <row r="190" spans="2:62" s="9" customFormat="1" x14ac:dyDescent="0.2">
      <c r="B190" s="10"/>
      <c r="E190" s="19" t="s">
        <v>136</v>
      </c>
      <c r="F190" s="9" t="s">
        <v>502</v>
      </c>
      <c r="G190" s="9" t="s">
        <v>72</v>
      </c>
      <c r="I190" s="9" t="s">
        <v>72</v>
      </c>
      <c r="J190" s="9" t="s">
        <v>74</v>
      </c>
      <c r="K190" s="9" t="s">
        <v>297</v>
      </c>
      <c r="L190" s="10">
        <v>1</v>
      </c>
      <c r="M190" s="9" t="s">
        <v>76</v>
      </c>
      <c r="R190" s="9" t="s">
        <v>299</v>
      </c>
      <c r="S190" s="9" t="s">
        <v>74</v>
      </c>
      <c r="AC190" s="10">
        <v>2018</v>
      </c>
      <c r="AD190" s="10" t="s">
        <v>363</v>
      </c>
      <c r="AE190" s="10">
        <v>12</v>
      </c>
      <c r="AI190" s="9" t="s">
        <v>80</v>
      </c>
      <c r="AK190" s="9" t="s">
        <v>303</v>
      </c>
      <c r="AM190" s="21" t="s">
        <v>498</v>
      </c>
      <c r="AN190" s="21"/>
      <c r="AO190" s="9">
        <v>605</v>
      </c>
      <c r="AP190" s="10"/>
      <c r="AQ190" s="10"/>
      <c r="AR190" s="10"/>
      <c r="AS190" s="10"/>
      <c r="AT190" s="10"/>
      <c r="AU190" s="10"/>
      <c r="AV190" s="22">
        <v>15.83958</v>
      </c>
      <c r="AW190" s="22">
        <v>-95.967290000000006</v>
      </c>
      <c r="AY190" s="10"/>
      <c r="BB190" s="19" t="s">
        <v>511</v>
      </c>
      <c r="BC190" s="9" t="s">
        <v>85</v>
      </c>
      <c r="BD190" s="9" t="s">
        <v>109</v>
      </c>
      <c r="BE190" s="12" t="s">
        <v>110</v>
      </c>
      <c r="BF190" s="12" t="s">
        <v>512</v>
      </c>
      <c r="BJ190" s="12"/>
    </row>
    <row r="191" spans="2:62" s="34" customFormat="1" x14ac:dyDescent="0.2">
      <c r="B191" s="35"/>
      <c r="E191" s="42" t="s">
        <v>122</v>
      </c>
      <c r="F191" s="34" t="s">
        <v>503</v>
      </c>
      <c r="G191" s="34" t="s">
        <v>72</v>
      </c>
      <c r="I191" s="34" t="s">
        <v>72</v>
      </c>
      <c r="J191" s="34" t="s">
        <v>74</v>
      </c>
      <c r="K191" s="34" t="s">
        <v>297</v>
      </c>
      <c r="L191" s="35">
        <v>1</v>
      </c>
      <c r="M191" s="34" t="s">
        <v>76</v>
      </c>
      <c r="R191" s="34" t="s">
        <v>299</v>
      </c>
      <c r="S191" s="34" t="s">
        <v>74</v>
      </c>
      <c r="V191" s="35"/>
      <c r="Y191" s="35"/>
      <c r="AB191" s="35"/>
      <c r="AC191" s="35">
        <v>2018</v>
      </c>
      <c r="AD191" s="35" t="s">
        <v>363</v>
      </c>
      <c r="AE191" s="35">
        <v>12</v>
      </c>
      <c r="AI191" s="34" t="s">
        <v>80</v>
      </c>
      <c r="AK191" s="34" t="s">
        <v>303</v>
      </c>
      <c r="AM191" s="43" t="s">
        <v>498</v>
      </c>
      <c r="AN191" s="43"/>
      <c r="AO191" s="34">
        <v>605</v>
      </c>
      <c r="AP191" s="35"/>
      <c r="AQ191" s="35"/>
      <c r="AR191" s="35"/>
      <c r="AS191" s="35"/>
      <c r="AT191" s="35"/>
      <c r="AU191" s="35"/>
      <c r="AV191" s="44">
        <v>15.83958</v>
      </c>
      <c r="AW191" s="44">
        <v>-95.967290000000006</v>
      </c>
      <c r="AY191" s="35"/>
      <c r="BB191" s="42" t="s">
        <v>122</v>
      </c>
      <c r="BC191" s="34" t="s">
        <v>85</v>
      </c>
      <c r="BD191" s="34" t="s">
        <v>109</v>
      </c>
      <c r="BE191" s="41" t="s">
        <v>110</v>
      </c>
      <c r="BF191" s="41" t="s">
        <v>129</v>
      </c>
      <c r="BJ191" s="41"/>
    </row>
    <row r="192" spans="2:62" s="24" customFormat="1" x14ac:dyDescent="0.2">
      <c r="B192" s="25"/>
      <c r="E192" s="23" t="s">
        <v>122</v>
      </c>
      <c r="F192" s="24" t="s">
        <v>504</v>
      </c>
      <c r="G192" s="24" t="s">
        <v>72</v>
      </c>
      <c r="I192" s="24" t="s">
        <v>72</v>
      </c>
      <c r="J192" s="24" t="s">
        <v>74</v>
      </c>
      <c r="K192" s="24" t="s">
        <v>297</v>
      </c>
      <c r="L192" s="25">
        <v>1</v>
      </c>
      <c r="M192" s="24" t="s">
        <v>76</v>
      </c>
      <c r="R192" s="24" t="s">
        <v>299</v>
      </c>
      <c r="S192" s="24" t="s">
        <v>74</v>
      </c>
      <c r="V192" s="25"/>
      <c r="Y192" s="25"/>
      <c r="AB192" s="25"/>
      <c r="AC192" s="25">
        <v>2018</v>
      </c>
      <c r="AD192" s="25" t="s">
        <v>363</v>
      </c>
      <c r="AE192" s="25">
        <v>12</v>
      </c>
      <c r="AI192" s="24" t="s">
        <v>80</v>
      </c>
      <c r="AK192" s="24" t="s">
        <v>303</v>
      </c>
      <c r="AM192" s="32" t="s">
        <v>498</v>
      </c>
      <c r="AN192" s="32"/>
      <c r="AO192" s="24">
        <v>605</v>
      </c>
      <c r="AP192" s="25"/>
      <c r="AQ192" s="25"/>
      <c r="AR192" s="25"/>
      <c r="AS192" s="25"/>
      <c r="AT192" s="25"/>
      <c r="AU192" s="25"/>
      <c r="AV192" s="33">
        <v>15.83958</v>
      </c>
      <c r="AW192" s="33">
        <v>-95.967290000000006</v>
      </c>
      <c r="AY192" s="25"/>
      <c r="BB192" s="23" t="s">
        <v>122</v>
      </c>
      <c r="BC192" s="24" t="s">
        <v>85</v>
      </c>
      <c r="BD192" s="24" t="s">
        <v>109</v>
      </c>
      <c r="BE192" s="30" t="s">
        <v>110</v>
      </c>
      <c r="BF192" s="30" t="s">
        <v>129</v>
      </c>
      <c r="BJ192" s="30"/>
    </row>
    <row r="193" spans="2:62" s="9" customFormat="1" x14ac:dyDescent="0.2">
      <c r="B193" s="10"/>
      <c r="E193" s="19" t="s">
        <v>122</v>
      </c>
      <c r="F193" s="9" t="s">
        <v>505</v>
      </c>
      <c r="G193" s="9" t="s">
        <v>72</v>
      </c>
      <c r="I193" s="9" t="s">
        <v>72</v>
      </c>
      <c r="J193" s="9" t="s">
        <v>74</v>
      </c>
      <c r="K193" s="9" t="s">
        <v>297</v>
      </c>
      <c r="L193" s="10">
        <v>1</v>
      </c>
      <c r="M193" s="9" t="s">
        <v>76</v>
      </c>
      <c r="R193" s="9" t="s">
        <v>299</v>
      </c>
      <c r="S193" s="9" t="s">
        <v>74</v>
      </c>
      <c r="V193" s="10"/>
      <c r="Y193" s="10"/>
      <c r="AB193" s="10"/>
      <c r="AC193" s="10">
        <v>2018</v>
      </c>
      <c r="AD193" s="10" t="s">
        <v>363</v>
      </c>
      <c r="AE193" s="10">
        <v>12</v>
      </c>
      <c r="AI193" s="9" t="s">
        <v>80</v>
      </c>
      <c r="AK193" s="9" t="s">
        <v>303</v>
      </c>
      <c r="AM193" s="21" t="s">
        <v>498</v>
      </c>
      <c r="AN193" s="21"/>
      <c r="AO193" s="9">
        <v>605</v>
      </c>
      <c r="AP193" s="10"/>
      <c r="AQ193" s="10"/>
      <c r="AR193" s="10"/>
      <c r="AS193" s="10"/>
      <c r="AT193" s="10"/>
      <c r="AU193" s="10"/>
      <c r="AV193" s="22">
        <v>15.83958</v>
      </c>
      <c r="AW193" s="22">
        <v>-95.967290000000006</v>
      </c>
      <c r="AY193" s="10"/>
      <c r="BB193" s="19" t="s">
        <v>122</v>
      </c>
      <c r="BC193" s="9" t="s">
        <v>85</v>
      </c>
      <c r="BD193" s="9" t="s">
        <v>109</v>
      </c>
      <c r="BE193" s="12" t="s">
        <v>110</v>
      </c>
      <c r="BF193" s="12" t="s">
        <v>129</v>
      </c>
      <c r="BJ193" s="12"/>
    </row>
    <row r="194" spans="2:62" s="9" customFormat="1" x14ac:dyDescent="0.2">
      <c r="B194" s="10"/>
      <c r="E194" s="19" t="s">
        <v>122</v>
      </c>
      <c r="F194" s="9" t="s">
        <v>506</v>
      </c>
      <c r="G194" s="9" t="s">
        <v>72</v>
      </c>
      <c r="I194" s="9" t="s">
        <v>72</v>
      </c>
      <c r="J194" s="9" t="s">
        <v>74</v>
      </c>
      <c r="K194" s="9" t="s">
        <v>297</v>
      </c>
      <c r="L194" s="10">
        <v>1</v>
      </c>
      <c r="M194" s="9" t="s">
        <v>76</v>
      </c>
      <c r="R194" s="9" t="s">
        <v>299</v>
      </c>
      <c r="S194" s="9" t="s">
        <v>74</v>
      </c>
      <c r="V194" s="10"/>
      <c r="Y194" s="10"/>
      <c r="AB194" s="10"/>
      <c r="AC194" s="10">
        <v>2018</v>
      </c>
      <c r="AD194" s="10" t="s">
        <v>363</v>
      </c>
      <c r="AE194" s="10">
        <v>12</v>
      </c>
      <c r="AI194" s="9" t="s">
        <v>80</v>
      </c>
      <c r="AK194" s="9" t="s">
        <v>303</v>
      </c>
      <c r="AM194" s="21" t="s">
        <v>498</v>
      </c>
      <c r="AN194" s="21"/>
      <c r="AO194" s="9">
        <v>605</v>
      </c>
      <c r="AP194" s="10"/>
      <c r="AQ194" s="10"/>
      <c r="AR194" s="10"/>
      <c r="AS194" s="10"/>
      <c r="AT194" s="10"/>
      <c r="AU194" s="10"/>
      <c r="AV194" s="22">
        <v>15.83958</v>
      </c>
      <c r="AW194" s="22">
        <v>-95.967290000000006</v>
      </c>
      <c r="AY194" s="10"/>
      <c r="BB194" s="19" t="s">
        <v>122</v>
      </c>
      <c r="BC194" s="9" t="s">
        <v>85</v>
      </c>
      <c r="BD194" s="9" t="s">
        <v>109</v>
      </c>
      <c r="BE194" s="12" t="s">
        <v>110</v>
      </c>
      <c r="BF194" s="12" t="s">
        <v>129</v>
      </c>
      <c r="BJ194" s="12"/>
    </row>
    <row r="195" spans="2:62" s="24" customFormat="1" x14ac:dyDescent="0.2">
      <c r="B195" s="25"/>
      <c r="E195" s="23" t="s">
        <v>122</v>
      </c>
      <c r="F195" s="24" t="s">
        <v>507</v>
      </c>
      <c r="G195" s="24" t="s">
        <v>72</v>
      </c>
      <c r="I195" s="24" t="s">
        <v>72</v>
      </c>
      <c r="J195" s="24" t="s">
        <v>74</v>
      </c>
      <c r="K195" s="24" t="s">
        <v>297</v>
      </c>
      <c r="L195" s="25">
        <v>1</v>
      </c>
      <c r="M195" s="24" t="s">
        <v>76</v>
      </c>
      <c r="R195" s="24" t="s">
        <v>299</v>
      </c>
      <c r="S195" s="24" t="s">
        <v>74</v>
      </c>
      <c r="V195" s="25"/>
      <c r="Y195" s="25"/>
      <c r="AB195" s="25"/>
      <c r="AC195" s="25">
        <v>2018</v>
      </c>
      <c r="AD195" s="25" t="s">
        <v>363</v>
      </c>
      <c r="AE195" s="25">
        <v>12</v>
      </c>
      <c r="AI195" s="24" t="s">
        <v>80</v>
      </c>
      <c r="AK195" s="24" t="s">
        <v>303</v>
      </c>
      <c r="AM195" s="32" t="s">
        <v>498</v>
      </c>
      <c r="AN195" s="32"/>
      <c r="AO195" s="24">
        <v>605</v>
      </c>
      <c r="AP195" s="25"/>
      <c r="AQ195" s="25"/>
      <c r="AR195" s="25"/>
      <c r="AS195" s="25"/>
      <c r="AT195" s="25"/>
      <c r="AU195" s="25"/>
      <c r="AV195" s="33">
        <v>15.83958</v>
      </c>
      <c r="AW195" s="33">
        <v>-95.967290000000006</v>
      </c>
      <c r="AY195" s="25"/>
      <c r="BB195" s="23" t="s">
        <v>122</v>
      </c>
      <c r="BC195" s="24" t="s">
        <v>85</v>
      </c>
      <c r="BD195" s="24" t="s">
        <v>109</v>
      </c>
      <c r="BE195" s="30" t="s">
        <v>110</v>
      </c>
      <c r="BF195" s="30" t="s">
        <v>129</v>
      </c>
      <c r="BJ195" s="30"/>
    </row>
    <row r="196" spans="2:62" s="9" customFormat="1" x14ac:dyDescent="0.2">
      <c r="B196" s="10"/>
      <c r="E196" s="19" t="s">
        <v>452</v>
      </c>
      <c r="F196" s="9" t="s">
        <v>508</v>
      </c>
      <c r="G196" s="9" t="s">
        <v>72</v>
      </c>
      <c r="I196" s="9" t="s">
        <v>72</v>
      </c>
      <c r="J196" s="9" t="s">
        <v>74</v>
      </c>
      <c r="K196" s="9" t="s">
        <v>297</v>
      </c>
      <c r="L196" s="10">
        <v>1</v>
      </c>
      <c r="M196" s="9" t="s">
        <v>76</v>
      </c>
      <c r="R196" s="9" t="s">
        <v>299</v>
      </c>
      <c r="S196" s="9" t="s">
        <v>74</v>
      </c>
      <c r="V196" s="10"/>
      <c r="Y196" s="10"/>
      <c r="AB196" s="10"/>
      <c r="AC196" s="10">
        <v>2018</v>
      </c>
      <c r="AD196" s="10" t="s">
        <v>363</v>
      </c>
      <c r="AE196" s="10">
        <v>12</v>
      </c>
      <c r="AI196" s="9" t="s">
        <v>80</v>
      </c>
      <c r="AK196" s="9" t="s">
        <v>303</v>
      </c>
      <c r="AM196" s="21" t="s">
        <v>498</v>
      </c>
      <c r="AN196" s="21"/>
      <c r="AO196" s="9">
        <v>605</v>
      </c>
      <c r="AP196" s="10"/>
      <c r="AQ196" s="10"/>
      <c r="AR196" s="10"/>
      <c r="AS196" s="10"/>
      <c r="AT196" s="10"/>
      <c r="AU196" s="10"/>
      <c r="AV196" s="22">
        <v>15.83958</v>
      </c>
      <c r="AW196" s="22">
        <v>-95.967290000000006</v>
      </c>
      <c r="AY196" s="10"/>
      <c r="BB196" s="19" t="s">
        <v>452</v>
      </c>
      <c r="BC196" s="9" t="s">
        <v>85</v>
      </c>
      <c r="BD196" s="9" t="s">
        <v>109</v>
      </c>
      <c r="BE196" s="12" t="s">
        <v>110</v>
      </c>
      <c r="BF196" s="12" t="s">
        <v>129</v>
      </c>
      <c r="BJ196" s="1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UNAM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NIeto Montes de Oca</dc:creator>
  <cp:lastModifiedBy>Microsoft Office User</cp:lastModifiedBy>
  <dcterms:created xsi:type="dcterms:W3CDTF">2018-10-16T07:55:04Z</dcterms:created>
  <dcterms:modified xsi:type="dcterms:W3CDTF">2023-08-08T17:06:12Z</dcterms:modified>
</cp:coreProperties>
</file>